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f2dcee86f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RAW" sheetId="1" r:id="Re69cfdbc168746a6"/>
    <x:sheet xmlns:r="http://schemas.openxmlformats.org/officeDocument/2006/relationships" name="PARCO_PROVENANCE" sheetId="2" r:id="R4708a9e6d93348d8"/>
    <x:sheet xmlns:r="http://schemas.openxmlformats.org/officeDocument/2006/relationships" name="TURISMO_PROVENANCE" sheetId="3" r:id="Ra2a27d5f66854768"/>
    <x:sheet xmlns:r="http://schemas.openxmlformats.org/officeDocument/2006/relationships" name="GDO_PROVENANCE" sheetId="4" r:id="R0fa6c73fdc1c4abc"/>
    <x:sheet xmlns:r="http://schemas.openxmlformats.org/officeDocument/2006/relationships" name="QA_FINAL" sheetId="5" r:id="R21314dc4d53f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#,##0.000000"/>
    <x:numFmt numFmtId="203" formatCode="#,##0.00"/>
    <x:numFmt numFmtId="204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970f7519147e9" /><Relationship Type="http://schemas.openxmlformats.org/officeDocument/2006/relationships/theme" Target="/xl/theme/theme1.xml" Id="Rdfebdee8f7f04aba" /><Relationship Type="http://schemas.openxmlformats.org/officeDocument/2006/relationships/sharedStrings" Target="/xl/sharedStrings.xml" Id="R21be7717b9a143d2" /><Relationship Type="http://schemas.openxmlformats.org/officeDocument/2006/relationships/worksheet" Target="/xl/worksheets/sheet1.xml" Id="Re69cfdbc168746a6" /><Relationship Type="http://schemas.openxmlformats.org/officeDocument/2006/relationships/worksheet" Target="/xl/worksheets/sheet2.xml" Id="R4708a9e6d93348d8" /><Relationship Type="http://schemas.openxmlformats.org/officeDocument/2006/relationships/worksheet" Target="/xl/worksheets/sheet3.xml" Id="Ra2a27d5f66854768" /><Relationship Type="http://schemas.openxmlformats.org/officeDocument/2006/relationships/worksheet" Target="/xl/worksheets/sheet4.xml" Id="R0fa6c73fdc1c4abc" /><Relationship Type="http://schemas.openxmlformats.org/officeDocument/2006/relationships/worksheet" Target="/xl/worksheets/sheet5.xml" Id="R21314dc4d53f4e5c" /></Relationships>
</file>

<file path=xl/tables/table1.xml><?xml version="1.0" encoding="utf-8"?>
<x:table xmlns:x="http://schemas.openxmlformats.org/spreadsheetml/2006/main" id="1" name="GravityV0MasterRawTable" displayName="GravityV0MasterRawTable" ref="A1:L216" headerRowCount="1" totalsRowCount="0" totalsRowShown="0">
  <x:tableColumns count="12">
    <x:tableColumn id="1" name="PRO_COM"/>
    <x:tableColumn id="2" name="COMUNE"/>
    <x:tableColumn id="3" name="PARCO_AUTO_RAW"/>
    <x:tableColumn id="4" name="TURISMO_RAW"/>
    <x:tableColumn id="5" name="GDO_RAW"/>
    <x:tableColumn id="6" name="TURISMO_SOURCE"/>
    <x:tableColumn id="7" name="BEDS_2024"/>
    <x:tableColumn id="8" name="PARCO_SOURCE"/>
    <x:tableColumn id="9" name="PARCO_DATA_REF"/>
    <x:tableColumn id="10" name="GDO_SOURCE"/>
    <x:tableColumn id="11" name="GDO_ZERO_SOURCE"/>
    <x:tableColumn id="12" name="GDO_DATA_REF_PERIO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coAliasTable" displayName="ParcoAliasTable" ref="A13:E24" headerRowCount="1" totalsRowCount="0" totalsRowShown="0">
  <x:tableColumns count="5">
    <x:tableColumn id="1" name="PROVINCIA_ACI"/>
    <x:tableColumn id="2" name="COMUNE_ACI"/>
    <x:tableColumn id="3" name="PRO_COM"/>
    <x:tableColumn id="4" name="COMUNE_ISTAT"/>
    <x:tableColumn id="5" name="MATCH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urismoProvenanceTable" displayName="TurismoProvenanceTable" ref="A1:H216" headerRowCount="1" totalsRowCount="0" totalsRowShown="0">
  <x:tableColumns count="8">
    <x:tableColumn id="1" name="PRO_COM"/>
    <x:tableColumn id="2" name="COMUNE"/>
    <x:tableColumn id="3" name="OBSERVED_PRESENZE_2024"/>
    <x:tableColumn id="4" name="BEDS_2024"/>
    <x:tableColumn id="5" name="TURISMO_SOURCE"/>
    <x:tableColumn id="6" name="TURISMO_RAW"/>
    <x:tableColumn id="7" name="ISTAT_FLAG"/>
    <x:tableColumn id="8" name="CAPACITY_OBS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DOProvenanceTable" displayName="GDOProvenanceTable" ref="A1:P216" headerRowCount="1" totalsRowCount="0" totalsRowShown="0">
  <x:tableColumns count="16">
    <x:tableColumn id="1" name="PRO_COM"/>
    <x:tableColumn id="2" name="COMUNE"/>
    <x:tableColumn id="3" name="DATA_REF_PERIOD"/>
    <x:tableColumn id="4" name="MEDIA_SUP_MQ"/>
    <x:tableColumn id="5" name="GRANDE_SINGOLA_MQ"/>
    <x:tableColumn id="6" name="CENTRO_COMMERCIALE_MQ"/>
    <x:tableColumn id="7" name="COMPLESSO_COMMERCIALE_MQ"/>
    <x:tableColumn id="8" name="GDO_RAW"/>
    <x:tableColumn id="9" name="GDO_STATUS"/>
    <x:tableColumn id="10" name="SOURCE_NAME"/>
    <x:tableColumn id="11" name="JOIN_TYPE"/>
    <x:tableColumn id="12" name="PDF_PAGE"/>
    <x:tableColumn id="13" name="SOURCE_KIND"/>
    <x:tableColumn id="14" name="SOURCE_URL"/>
    <x:tableColumn id="15" name="ZERO_SOURCE"/>
    <x:tableColumn id="16" name="GDO_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alQATable" displayName="FinalQATable" ref="A1:E34" headerRowCount="1" totalsRowCount="0" totalsRowShown="0">
  <x:tableColumns count="5">
    <x:tableColumn id="1" name="SECTION"/>
    <x:tableColumn id="2" name="METRIC"/>
    <x:tableColumn id="3" name="VALUE"/>
    <x:tableColumn id="4" name="TARGET / CONTRACT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53408722ef40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1d4e90d2884c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9d2037d37f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c0689e297a4f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32675ba28546a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17" hidden="0" customWidth="1"/>
    <x:col min="4" max="4" width="18" hidden="0" customWidth="1"/>
    <x:col min="5" max="5" width="16" hidden="0" customWidth="1"/>
    <x:col min="6" max="6" width="27" hidden="0" customWidth="1"/>
    <x:col min="7" max="7" width="12" hidden="0" customWidth="1"/>
    <x:col min="8" max="8" width="24" hidden="0" customWidth="1"/>
    <x:col min="9" max="9" width="15" hidden="0" customWidth="1"/>
    <x:col min="10" max="10" width="28" hidden="0" customWidth="1"/>
    <x:col min="11" max="11" width="22" hidden="0" customWidth="1"/>
    <x:col min="12" max="12" width="20" hidden="0" customWidth="1"/>
  </x:cols>
  <x:sheetData>
    <x:row r="1">
      <x:c r="A1" s="6" t="str">
        <x:v>PRO_COM</x:v>
      </x:c>
      <x:c r="B1" s="6" t="str">
        <x:v>COMUNE</x:v>
      </x:c>
      <x:c r="C1" s="6" t="str">
        <x:v>PARCO_AUTO_RAW</x:v>
      </x:c>
      <x:c r="D1" s="6" t="str">
        <x:v>TURISMO_RAW</x:v>
      </x:c>
      <x:c r="E1" s="6" t="str">
        <x:v>GDO_RAW</x:v>
      </x:c>
      <x:c r="F1" s="6" t="str">
        <x:v>TURISMO_SOURCE</x:v>
      </x:c>
      <x:c r="G1" s="6" t="str">
        <x:v>BEDS_2024</x:v>
      </x:c>
      <x:c r="H1" s="6" t="str">
        <x:v>PARCO_SOURCE</x:v>
      </x:c>
      <x:c r="I1" s="6" t="str">
        <x:v>PARCO_DATA_REF</x:v>
      </x:c>
      <x:c r="J1" s="6" t="str">
        <x:v>GDO_SOURCE</x:v>
      </x:c>
      <x:c r="K1" s="6" t="str">
        <x:v>GDO_ZERO_SOURCE</x:v>
      </x:c>
      <x:c r="L1" s="6" t="str">
        <x:v>GDO_DATA_REF_PERIOD</x:v>
      </x:c>
    </x:row>
    <x:row r="2">
      <x:c r="A2" s="20" t="str">
        <x:v>030001</x:v>
      </x:c>
      <x:c r="B2" s="21" t="str">
        <x:v>Aiello del Friuli</x:v>
      </x:c>
      <x:c r="C2" s="22" t="n">
        <x:v>1464</x:v>
      </x:c>
      <x:c r="D2" s="23" t="n">
        <x:v>1805</x:v>
      </x:c>
      <x:c r="E2" s="24" t="n">
        <x:v>15000</x:v>
      </x:c>
      <x:c r="F2" s="21" t="str">
        <x:v>OBSERVED</x:v>
      </x:c>
      <x:c r="G2" s="22" t="n">
        <x:v>53</x:v>
      </x:c>
      <x:c r="H2" s="21" t="str">
        <x:v>ACI_AUTORITRATTO_2024</x:v>
      </x:c>
      <x:c r="I2" s="21" t="str">
        <x:v>2024</x:v>
      </x:c>
      <x:c r="J2" s="21" t="str">
        <x:v>RAFVG_REGIONAL_TABLE_2023</x:v>
      </x:c>
      <x:c r="K2" s="21" t="str">
        <x:v>NOT_ZERO</x:v>
      </x:c>
      <x:c r="L2" s="21" t="str">
        <x:v>2023_Q4</x:v>
      </x:c>
    </x:row>
    <x:row r="3">
      <x:c r="A3" s="20" t="str">
        <x:v>030002</x:v>
      </x:c>
      <x:c r="B3" s="21" t="str">
        <x:v>Amaro</x:v>
      </x:c>
      <x:c r="C3" s="22" t="n">
        <x:v>643</x:v>
      </x:c>
      <x:c r="D3" s="23" t="n">
        <x:v>237.45762711864407</x:v>
      </x:c>
      <x:c r="E3" s="24" t="n">
        <x:v>11754</x:v>
      </x:c>
      <x:c r="F3" s="21" t="str">
        <x:v>IMPUTED_BEDS_RESIDUAL</x:v>
      </x:c>
      <x:c r="G3" s="22" t="n">
        <x:v>15</x:v>
      </x:c>
      <x:c r="H3" s="21" t="str">
        <x:v>ACI_AUTORITRATTO_2024</x:v>
      </x:c>
      <x:c r="I3" s="21" t="str">
        <x:v>2024</x:v>
      </x:c>
      <x:c r="J3" s="21" t="str">
        <x:v>RAFVG_REGIONAL_TABLE_2023</x:v>
      </x:c>
      <x:c r="K3" s="21" t="str">
        <x:v>NOT_ZERO</x:v>
      </x:c>
      <x:c r="L3" s="21" t="str">
        <x:v>2023_Q4</x:v>
      </x:c>
    </x:row>
    <x:row r="4">
      <x:c r="A4" s="20" t="str">
        <x:v>030003</x:v>
      </x:c>
      <x:c r="B4" s="21" t="str">
        <x:v>Ampezzo</x:v>
      </x:c>
      <x:c r="C4" s="22" t="n">
        <x:v>574</x:v>
      </x:c>
      <x:c r="D4" s="23" t="n">
        <x:v>8652</x:v>
      </x:c>
      <x:c r="E4" s="24" t="n">
        <x:v>0</x:v>
      </x:c>
      <x:c r="F4" s="21" t="str">
        <x:v>OBSERVED</x:v>
      </x:c>
      <x:c r="G4" s="22" t="n">
        <x:v>294</x:v>
      </x:c>
      <x:c r="H4" s="21" t="str">
        <x:v>ACI_AUTORITRATTO_2024</x:v>
      </x:c>
      <x:c r="I4" s="21" t="str">
        <x:v>2024</x:v>
      </x:c>
      <x:c r="J4" s="21" t="str">
        <x:v>RAFVG_REGIONAL_TABLE_2023</x:v>
      </x:c>
      <x:c r="K4" s="21" t="str">
        <x:v>REGIONAL_TABLE</x:v>
      </x:c>
      <x:c r="L4" s="21" t="str">
        <x:v>2023_Q4</x:v>
      </x:c>
    </x:row>
    <x:row r="5">
      <x:c r="A5" s="20" t="str">
        <x:v>030004</x:v>
      </x:c>
      <x:c r="B5" s="21" t="str">
        <x:v>Aquileia</x:v>
      </x:c>
      <x:c r="C5" s="22" t="n">
        <x:v>2251</x:v>
      </x:c>
      <x:c r="D5" s="23" t="n">
        <x:v>138211</x:v>
      </x:c>
      <x:c r="E5" s="24" t="n">
        <x:v>0</x:v>
      </x:c>
      <x:c r="F5" s="21" t="str">
        <x:v>OBSERVED</x:v>
      </x:c>
      <x:c r="G5" s="22" t="n">
        <x:v>3163</x:v>
      </x:c>
      <x:c r="H5" s="21" t="str">
        <x:v>ACI_AUTORITRATTO_2024</x:v>
      </x:c>
      <x:c r="I5" s="21" t="str">
        <x:v>2024</x:v>
      </x:c>
      <x:c r="J5" s="21" t="str">
        <x:v>RAFVG_REGIONAL_TABLE_2023</x:v>
      </x:c>
      <x:c r="K5" s="21" t="str">
        <x:v>REGIONAL_TABLE</x:v>
      </x:c>
      <x:c r="L5" s="21" t="str">
        <x:v>2023_Q4</x:v>
      </x:c>
    </x:row>
    <x:row r="6">
      <x:c r="A6" s="20" t="str">
        <x:v>030005</x:v>
      </x:c>
      <x:c r="B6" s="21" t="str">
        <x:v>Arta Terme</x:v>
      </x:c>
      <x:c r="C6" s="22" t="n">
        <x:v>1432</x:v>
      </x:c>
      <x:c r="D6" s="23" t="n">
        <x:v>64705</x:v>
      </x:c>
      <x:c r="E6" s="24" t="n">
        <x:v>582</x:v>
      </x:c>
      <x:c r="F6" s="21" t="str">
        <x:v>OBSERVED</x:v>
      </x:c>
      <x:c r="G6" s="22" t="n">
        <x:v>849</x:v>
      </x:c>
      <x:c r="H6" s="21" t="str">
        <x:v>ACI_AUTORITRATTO_2024</x:v>
      </x:c>
      <x:c r="I6" s="21" t="str">
        <x:v>2024</x:v>
      </x:c>
      <x:c r="J6" s="21" t="str">
        <x:v>RAFVG_REGIONAL_TABLE_2023</x:v>
      </x:c>
      <x:c r="K6" s="21" t="str">
        <x:v>NOT_ZERO</x:v>
      </x:c>
      <x:c r="L6" s="21" t="str">
        <x:v>2023_Q4</x:v>
      </x:c>
    </x:row>
    <x:row r="7">
      <x:c r="A7" s="20" t="str">
        <x:v>030006</x:v>
      </x:c>
      <x:c r="B7" s="21" t="str">
        <x:v>Artegna</x:v>
      </x:c>
      <x:c r="C7" s="22" t="n">
        <x:v>2133</x:v>
      </x:c>
      <x:c r="D7" s="23" t="n">
        <x:v>4572</x:v>
      </x:c>
      <x:c r="E7" s="24" t="n">
        <x:v>1528</x:v>
      </x:c>
      <x:c r="F7" s="21" t="str">
        <x:v>OBSERVED</x:v>
      </x:c>
      <x:c r="G7" s="22" t="n">
        <x:v>64</x:v>
      </x:c>
      <x:c r="H7" s="21" t="str">
        <x:v>ACI_AUTORITRATTO_2024</x:v>
      </x:c>
      <x:c r="I7" s="21" t="str">
        <x:v>2024</x:v>
      </x:c>
      <x:c r="J7" s="21" t="str">
        <x:v>RAFVG_REGIONAL_TABLE_2023</x:v>
      </x:c>
      <x:c r="K7" s="21" t="str">
        <x:v>NOT_ZERO</x:v>
      </x:c>
      <x:c r="L7" s="21" t="str">
        <x:v>2023_Q4</x:v>
      </x:c>
    </x:row>
    <x:row r="8">
      <x:c r="A8" s="20" t="str">
        <x:v>030007</x:v>
      </x:c>
      <x:c r="B8" s="21" t="str">
        <x:v>Attimis</x:v>
      </x:c>
      <x:c r="C8" s="22" t="n">
        <x:v>1243</x:v>
      </x:c>
      <x:c r="D8" s="23" t="n">
        <x:v>231</x:v>
      </x:c>
      <x:c r="E8" s="24" t="n">
        <x:v>0</x:v>
      </x:c>
      <x:c r="F8" s="21" t="str">
        <x:v>OBSERVED</x:v>
      </x:c>
      <x:c r="G8" s="22" t="n">
        <x:v>142</x:v>
      </x:c>
      <x:c r="H8" s="21" t="str">
        <x:v>ACI_AUTORITRATTO_2024</x:v>
      </x:c>
      <x:c r="I8" s="21" t="str">
        <x:v>2024</x:v>
      </x:c>
      <x:c r="J8" s="21" t="str">
        <x:v>RAFVG_REGIONAL_TABLE_2023</x:v>
      </x:c>
      <x:c r="K8" s="21" t="str">
        <x:v>REGIONAL_TABLE</x:v>
      </x:c>
      <x:c r="L8" s="21" t="str">
        <x:v>2023_Q4</x:v>
      </x:c>
    </x:row>
    <x:row r="9">
      <x:c r="A9" s="20" t="str">
        <x:v>030008</x:v>
      </x:c>
      <x:c r="B9" s="21" t="str">
        <x:v>Bagnaria Arsa</x:v>
      </x:c>
      <x:c r="C9" s="22" t="n">
        <x:v>3322</x:v>
      </x:c>
      <x:c r="D9" s="23" t="n">
        <x:v>7725</x:v>
      </x:c>
      <x:c r="E9" s="24" t="n">
        <x:v>19675</x:v>
      </x:c>
      <x:c r="F9" s="21" t="str">
        <x:v>OBSERVED</x:v>
      </x:c>
      <x:c r="G9" s="22" t="n">
        <x:v>129</x:v>
      </x:c>
      <x:c r="H9" s="21" t="str">
        <x:v>ACI_AUTORITRATTO_2024</x:v>
      </x:c>
      <x:c r="I9" s="21" t="str">
        <x:v>2024</x:v>
      </x:c>
      <x:c r="J9" s="21" t="str">
        <x:v>RAFVG_REGIONAL_TABLE_2023</x:v>
      </x:c>
      <x:c r="K9" s="21" t="str">
        <x:v>NOT_ZERO</x:v>
      </x:c>
      <x:c r="L9" s="21" t="str">
        <x:v>2022_Q2</x:v>
      </x:c>
    </x:row>
    <x:row r="10">
      <x:c r="A10" s="20" t="str">
        <x:v>030009</x:v>
      </x:c>
      <x:c r="B10" s="21" t="str">
        <x:v>Basiliano</x:v>
      </x:c>
      <x:c r="C10" s="22" t="n">
        <x:v>4244</x:v>
      </x:c>
      <x:c r="D10" s="23" t="n">
        <x:v>522.4067796610169</x:v>
      </x:c>
      <x:c r="E10" s="24" t="n">
        <x:v>7327</x:v>
      </x:c>
      <x:c r="F10" s="21" t="str">
        <x:v>IMPUTED_BEDS_RESIDUAL</x:v>
      </x:c>
      <x:c r="G10" s="22" t="n">
        <x:v>33</x:v>
      </x:c>
      <x:c r="H10" s="21" t="str">
        <x:v>ACI_AUTORITRATTO_2024</x:v>
      </x:c>
      <x:c r="I10" s="21" t="str">
        <x:v>2024</x:v>
      </x:c>
      <x:c r="J10" s="21" t="str">
        <x:v>RAFVG_REGIONAL_TABLE_2023</x:v>
      </x:c>
      <x:c r="K10" s="21" t="str">
        <x:v>NOT_ZERO</x:v>
      </x:c>
      <x:c r="L10" s="21" t="str">
        <x:v>2023_Q4</x:v>
      </x:c>
    </x:row>
    <x:row r="11">
      <x:c r="A11" s="20" t="str">
        <x:v>030010</x:v>
      </x:c>
      <x:c r="B11" s="21" t="str">
        <x:v>Bertiolo</x:v>
      </x:c>
      <x:c r="C11" s="22" t="n">
        <x:v>1741</x:v>
      </x:c>
      <x:c r="D11" s="23" t="n">
        <x:v>383</x:v>
      </x:c>
      <x:c r="E11" s="24" t="n">
        <x:v>2360.56</x:v>
      </x:c>
      <x:c r="F11" s="21" t="str">
        <x:v>OBSERVED</x:v>
      </x:c>
      <x:c r="G11" s="22" t="n">
        <x:v>34</x:v>
      </x:c>
      <x:c r="H11" s="21" t="str">
        <x:v>ACI_AUTORITRATTO_2024</x:v>
      </x:c>
      <x:c r="I11" s="21" t="str">
        <x:v>2024</x:v>
      </x:c>
      <x:c r="J11" s="21" t="str">
        <x:v>RAFVG_REGIONAL_TABLE_2023</x:v>
      </x:c>
      <x:c r="K11" s="21" t="str">
        <x:v>NOT_ZERO</x:v>
      </x:c>
      <x:c r="L11" s="21" t="str">
        <x:v>2023_Q4</x:v>
      </x:c>
    </x:row>
    <x:row r="12">
      <x:c r="A12" s="20" t="str">
        <x:v>030011</x:v>
      </x:c>
      <x:c r="B12" s="21" t="str">
        <x:v>Bicinicco</x:v>
      </x:c>
      <x:c r="C12" s="22" t="n">
        <x:v>1337</x:v>
      </x:c>
      <x:c r="D12" s="23" t="n">
        <x:v>63.32203389830509</x:v>
      </x:c>
      <x:c r="E12" s="24" t="n">
        <x:v>0</x:v>
      </x:c>
      <x:c r="F12" s="21" t="str">
        <x:v>IMPUTED_BEDS_RESIDUAL</x:v>
      </x:c>
      <x:c r="G12" s="22" t="n">
        <x:v>4</x:v>
      </x:c>
      <x:c r="H12" s="21" t="str">
        <x:v>ACI_AUTORITRATTO_2024</x:v>
      </x:c>
      <x:c r="I12" s="21" t="str">
        <x:v>2024</x:v>
      </x:c>
      <x:c r="J12" s="21" t="str">
        <x:v>RAFVG_REGIONAL_TABLE_2023</x:v>
      </x:c>
      <x:c r="K12" s="21" t="str">
        <x:v>REGIONAL_TABLE</x:v>
      </x:c>
      <x:c r="L12" s="21" t="str">
        <x:v>2023_Q4</x:v>
      </x:c>
    </x:row>
    <x:row r="13">
      <x:c r="A13" s="20" t="str">
        <x:v>030012</x:v>
      </x:c>
      <x:c r="B13" s="21" t="str">
        <x:v>Bordano</x:v>
      </x:c>
      <x:c r="C13" s="22" t="n">
        <x:v>516</x:v>
      </x:c>
      <x:c r="D13" s="23" t="n">
        <x:v>395.76271186440675</x:v>
      </x:c>
      <x:c r="E13" s="24" t="n">
        <x:v>0</x:v>
      </x:c>
      <x:c r="F13" s="21" t="str">
        <x:v>IMPUTED_BEDS_RESIDUAL</x:v>
      </x:c>
      <x:c r="G13" s="22" t="n">
        <x:v>25</x:v>
      </x:c>
      <x:c r="H13" s="21" t="str">
        <x:v>ACI_AUTORITRATTO_2024</x:v>
      </x:c>
      <x:c r="I13" s="21" t="str">
        <x:v>2024</x:v>
      </x:c>
      <x:c r="J13" s="21" t="str">
        <x:v>RAFVG_REGIONAL_TABLE_2023</x:v>
      </x:c>
      <x:c r="K13" s="21" t="str">
        <x:v>REGIONAL_TABLE</x:v>
      </x:c>
      <x:c r="L13" s="21" t="str">
        <x:v>2023_Q4</x:v>
      </x:c>
    </x:row>
    <x:row r="14">
      <x:c r="A14" s="20" t="str">
        <x:v>030013</x:v>
      </x:c>
      <x:c r="B14" s="21" t="str">
        <x:v>Buja</x:v>
      </x:c>
      <x:c r="C14" s="22" t="n">
        <x:v>5085</x:v>
      </x:c>
      <x:c r="D14" s="23" t="n">
        <x:v>4307</x:v>
      </x:c>
      <x:c r="E14" s="24" t="n">
        <x:v>4027.38</x:v>
      </x:c>
      <x:c r="F14" s="21" t="str">
        <x:v>OBSERVED</x:v>
      </x:c>
      <x:c r="G14" s="22" t="n">
        <x:v>91</x:v>
      </x:c>
      <x:c r="H14" s="21" t="str">
        <x:v>ACI_AUTORITRATTO_2024</x:v>
      </x:c>
      <x:c r="I14" s="21" t="str">
        <x:v>2024</x:v>
      </x:c>
      <x:c r="J14" s="21" t="str">
        <x:v>RAFVG_REGIONAL_TABLE_2023</x:v>
      </x:c>
      <x:c r="K14" s="21" t="str">
        <x:v>NOT_ZERO</x:v>
      </x:c>
      <x:c r="L14" s="21" t="str">
        <x:v>2023_Q4</x:v>
      </x:c>
    </x:row>
    <x:row r="15">
      <x:c r="A15" s="20" t="str">
        <x:v>030014</x:v>
      </x:c>
      <x:c r="B15" s="21" t="str">
        <x:v>Buttrio</x:v>
      </x:c>
      <x:c r="C15" s="22" t="n">
        <x:v>2909</x:v>
      </x:c>
      <x:c r="D15" s="23" t="n">
        <x:v>51386</x:v>
      </x:c>
      <x:c r="E15" s="24" t="n">
        <x:v>9734</x:v>
      </x:c>
      <x:c r="F15" s="21" t="str">
        <x:v>OBSERVED</x:v>
      </x:c>
      <x:c r="G15" s="22" t="n">
        <x:v>352</x:v>
      </x:c>
      <x:c r="H15" s="21" t="str">
        <x:v>ACI_AUTORITRATTO_2024</x:v>
      </x:c>
      <x:c r="I15" s="21" t="str">
        <x:v>2024</x:v>
      </x:c>
      <x:c r="J15" s="21" t="str">
        <x:v>RAFVG_REGIONAL_TABLE_2023</x:v>
      </x:c>
      <x:c r="K15" s="21" t="str">
        <x:v>NOT_ZERO</x:v>
      </x:c>
      <x:c r="L15" s="21" t="str">
        <x:v>2023_Q4</x:v>
      </x:c>
    </x:row>
    <x:row r="16">
      <x:c r="A16" s="20" t="str">
        <x:v>030015</x:v>
      </x:c>
      <x:c r="B16" s="21" t="str">
        <x:v>Camino al Tagliamento</x:v>
      </x:c>
      <x:c r="C16" s="22" t="n">
        <x:v>1158</x:v>
      </x:c>
      <x:c r="D16" s="23" t="n">
        <x:v>1102</x:v>
      </x:c>
      <x:c r="E16" s="24" t="n">
        <x:v>0</x:v>
      </x:c>
      <x:c r="F16" s="21" t="str">
        <x:v>OBSERVED</x:v>
      </x:c>
      <x:c r="G16" s="22" t="n">
        <x:v>87</x:v>
      </x:c>
      <x:c r="H16" s="21" t="str">
        <x:v>ACI_AUTORITRATTO_2024</x:v>
      </x:c>
      <x:c r="I16" s="21" t="str">
        <x:v>2024</x:v>
      </x:c>
      <x:c r="J16" s="21" t="str">
        <x:v>RAFVG_REGIONAL_TABLE_2023</x:v>
      </x:c>
      <x:c r="K16" s="21" t="str">
        <x:v>REGIONAL_TABLE</x:v>
      </x:c>
      <x:c r="L16" s="21" t="str">
        <x:v>2023_Q4</x:v>
      </x:c>
    </x:row>
    <x:row r="17">
      <x:c r="A17" s="20" t="str">
        <x:v>030016</x:v>
      </x:c>
      <x:c r="B17" s="21" t="str">
        <x:v>Campoformido</x:v>
      </x:c>
      <x:c r="C17" s="22" t="n">
        <x:v>5724</x:v>
      </x:c>
      <x:c r="D17" s="23" t="n">
        <x:v>1458</x:v>
      </x:c>
      <x:c r="E17" s="24" t="n">
        <x:v>1467</x:v>
      </x:c>
      <x:c r="F17" s="21" t="str">
        <x:v>OBSERVED</x:v>
      </x:c>
      <x:c r="G17" s="22" t="n">
        <x:v>46</x:v>
      </x:c>
      <x:c r="H17" s="21" t="str">
        <x:v>ACI_AUTORITRATTO_2024</x:v>
      </x:c>
      <x:c r="I17" s="21" t="str">
        <x:v>2024</x:v>
      </x:c>
      <x:c r="J17" s="21" t="str">
        <x:v>RAFVG_REGIONAL_TABLE_2023</x:v>
      </x:c>
      <x:c r="K17" s="21" t="str">
        <x:v>NOT_ZERO</x:v>
      </x:c>
      <x:c r="L17" s="21" t="str">
        <x:v>2023_Q4</x:v>
      </x:c>
    </x:row>
    <x:row r="18">
      <x:c r="A18" s="20" t="str">
        <x:v>030018</x:v>
      </x:c>
      <x:c r="B18" s="21" t="str">
        <x:v>Carlino</x:v>
      </x:c>
      <x:c r="C18" s="22" t="n">
        <x:v>1864</x:v>
      </x:c>
      <x:c r="D18" s="23" t="n">
        <x:v>775.6949152542373</x:v>
      </x:c>
      <x:c r="E18" s="24" t="n">
        <x:v>1456</x:v>
      </x:c>
      <x:c r="F18" s="21" t="str">
        <x:v>IMPUTED_BEDS_RESIDUAL</x:v>
      </x:c>
      <x:c r="G18" s="22" t="n">
        <x:v>49</x:v>
      </x:c>
      <x:c r="H18" s="21" t="str">
        <x:v>ACI_AUTORITRATTO_2024</x:v>
      </x:c>
      <x:c r="I18" s="21" t="str">
        <x:v>2024</x:v>
      </x:c>
      <x:c r="J18" s="21" t="str">
        <x:v>RAFVG_REGIONAL_TABLE_2023</x:v>
      </x:c>
      <x:c r="K18" s="21" t="str">
        <x:v>NOT_ZERO</x:v>
      </x:c>
      <x:c r="L18" s="21" t="str">
        <x:v>2023_Q4</x:v>
      </x:c>
    </x:row>
    <x:row r="19">
      <x:c r="A19" s="20" t="str">
        <x:v>030019</x:v>
      </x:c>
      <x:c r="B19" s="21" t="str">
        <x:v>Cassacco</x:v>
      </x:c>
      <x:c r="C19" s="22" t="n">
        <x:v>2203</x:v>
      </x:c>
      <x:c r="D19" s="23" t="n">
        <x:v>208</x:v>
      </x:c>
      <x:c r="E19" s="24" t="n">
        <x:v>28576</x:v>
      </x:c>
      <x:c r="F19" s="21" t="str">
        <x:v>OBSERVED</x:v>
      </x:c>
      <x:c r="G19" s="22" t="n">
        <x:v>90</x:v>
      </x:c>
      <x:c r="H19" s="21" t="str">
        <x:v>ACI_AUTORITRATTO_2024</x:v>
      </x:c>
      <x:c r="I19" s="21" t="str">
        <x:v>2024</x:v>
      </x:c>
      <x:c r="J19" s="21" t="str">
        <x:v>RAFVG_REGIONAL_TABLE_2023</x:v>
      </x:c>
      <x:c r="K19" s="21" t="str">
        <x:v>NOT_ZERO</x:v>
      </x:c>
      <x:c r="L19" s="21" t="str">
        <x:v>2023_Q4</x:v>
      </x:c>
    </x:row>
    <x:row r="20">
      <x:c r="A20" s="20" t="str">
        <x:v>030020</x:v>
      </x:c>
      <x:c r="B20" s="21" t="str">
        <x:v>Castions di Strada</x:v>
      </x:c>
      <x:c r="C20" s="22" t="n">
        <x:v>2666</x:v>
      </x:c>
      <x:c r="D20" s="23" t="n">
        <x:v>807</x:v>
      </x:c>
      <x:c r="E20" s="24" t="n">
        <x:v>7813</x:v>
      </x:c>
      <x:c r="F20" s="21" t="str">
        <x:v>OBSERVED</x:v>
      </x:c>
      <x:c r="G20" s="22" t="n">
        <x:v>33</x:v>
      </x:c>
      <x:c r="H20" s="21" t="str">
        <x:v>ACI_AUTORITRATTO_2024</x:v>
      </x:c>
      <x:c r="I20" s="21" t="str">
        <x:v>2024</x:v>
      </x:c>
      <x:c r="J20" s="21" t="str">
        <x:v>RAFVG_REGIONAL_TABLE_2023</x:v>
      </x:c>
      <x:c r="K20" s="21" t="str">
        <x:v>NOT_ZERO</x:v>
      </x:c>
      <x:c r="L20" s="21" t="str">
        <x:v>2023_Q4</x:v>
      </x:c>
    </x:row>
    <x:row r="21">
      <x:c r="A21" s="20" t="str">
        <x:v>030021</x:v>
      </x:c>
      <x:c r="B21" s="21" t="str">
        <x:v>Cavazzo Carnico</x:v>
      </x:c>
      <x:c r="C21" s="22" t="n">
        <x:v>698</x:v>
      </x:c>
      <x:c r="D21" s="23" t="n">
        <x:v>5008</x:v>
      </x:c>
      <x:c r="E21" s="24" t="n">
        <x:v>0</x:v>
      </x:c>
      <x:c r="F21" s="21" t="str">
        <x:v>OBSERVED</x:v>
      </x:c>
      <x:c r="G21" s="22" t="n">
        <x:v>158</x:v>
      </x:c>
      <x:c r="H21" s="21" t="str">
        <x:v>ACI_AUTORITRATTO_2024</x:v>
      </x:c>
      <x:c r="I21" s="21" t="str">
        <x:v>2024</x:v>
      </x:c>
      <x:c r="J21" s="21" t="str">
        <x:v>RAFVG_REGIONAL_TABLE_2023</x:v>
      </x:c>
      <x:c r="K21" s="21" t="str">
        <x:v>REGIONAL_TABLE</x:v>
      </x:c>
      <x:c r="L21" s="21" t="str">
        <x:v>2023_Q4</x:v>
      </x:c>
    </x:row>
    <x:row r="22">
      <x:c r="A22" s="20" t="str">
        <x:v>030022</x:v>
      </x:c>
      <x:c r="B22" s="21" t="str">
        <x:v>Cercivento</x:v>
      </x:c>
      <x:c r="C22" s="22" t="n">
        <x:v>414</x:v>
      </x:c>
      <x:c r="D22" s="23" t="n">
        <x:v>1843</x:v>
      </x:c>
      <x:c r="E22" s="24" t="n">
        <x:v>803</x:v>
      </x:c>
      <x:c r="F22" s="21" t="str">
        <x:v>OBSERVED</x:v>
      </x:c>
      <x:c r="G22" s="22" t="n">
        <x:v>88</x:v>
      </x:c>
      <x:c r="H22" s="21" t="str">
        <x:v>ACI_AUTORITRATTO_2024</x:v>
      </x:c>
      <x:c r="I22" s="21" t="str">
        <x:v>2024</x:v>
      </x:c>
      <x:c r="J22" s="21" t="str">
        <x:v>RAFVG_REGIONAL_TABLE_2023</x:v>
      </x:c>
      <x:c r="K22" s="21" t="str">
        <x:v>NOT_ZERO</x:v>
      </x:c>
      <x:c r="L22" s="21" t="str">
        <x:v>2023_Q4</x:v>
      </x:c>
    </x:row>
    <x:row r="23">
      <x:c r="A23" s="20" t="str">
        <x:v>030023</x:v>
      </x:c>
      <x:c r="B23" s="21" t="str">
        <x:v>Cervignano del Friuli</x:v>
      </x:c>
      <x:c r="C23" s="22" t="n">
        <x:v>9471</x:v>
      </x:c>
      <x:c r="D23" s="23" t="n">
        <x:v>42983</x:v>
      </x:c>
      <x:c r="E23" s="24" t="n">
        <x:v>31374.05</x:v>
      </x:c>
      <x:c r="F23" s="21" t="str">
        <x:v>OBSERVED</x:v>
      </x:c>
      <x:c r="G23" s="22" t="n">
        <x:v>467</x:v>
      </x:c>
      <x:c r="H23" s="21" t="str">
        <x:v>ACI_AUTORITRATTO_2024</x:v>
      </x:c>
      <x:c r="I23" s="21" t="str">
        <x:v>2024</x:v>
      </x:c>
      <x:c r="J23" s="21" t="str">
        <x:v>RAFVG_REGIONAL_TABLE_2023</x:v>
      </x:c>
      <x:c r="K23" s="21" t="str">
        <x:v>NOT_ZERO</x:v>
      </x:c>
      <x:c r="L23" s="21" t="str">
        <x:v>2023_Q4</x:v>
      </x:c>
    </x:row>
    <x:row r="24">
      <x:c r="A24" s="20" t="str">
        <x:v>030024</x:v>
      </x:c>
      <x:c r="B24" s="21" t="str">
        <x:v>Chiopris-Viscone</x:v>
      </x:c>
      <x:c r="C24" s="22" t="n">
        <x:v>503</x:v>
      </x:c>
      <x:c r="D24" s="23" t="n">
        <x:v>364.10169491525426</x:v>
      </x:c>
      <x:c r="E24" s="24" t="n">
        <x:v>3910</x:v>
      </x:c>
      <x:c r="F24" s="21" t="str">
        <x:v>IMPUTED_BEDS_RESIDUAL</x:v>
      </x:c>
      <x:c r="G24" s="22" t="n">
        <x:v>23</x:v>
      </x:c>
      <x:c r="H24" s="21" t="str">
        <x:v>ACI_AUTORITRATTO_2024</x:v>
      </x:c>
      <x:c r="I24" s="21" t="str">
        <x:v>2024</x:v>
      </x:c>
      <x:c r="J24" s="21" t="str">
        <x:v>RAFVG_REGIONAL_TABLE_2023</x:v>
      </x:c>
      <x:c r="K24" s="21" t="str">
        <x:v>NOT_ZERO</x:v>
      </x:c>
      <x:c r="L24" s="21" t="str">
        <x:v>2023_Q4</x:v>
      </x:c>
    </x:row>
    <x:row r="25">
      <x:c r="A25" s="20" t="str">
        <x:v>030025</x:v>
      </x:c>
      <x:c r="B25" s="21" t="str">
        <x:v>Chiusaforte</x:v>
      </x:c>
      <x:c r="C25" s="22" t="n">
        <x:v>438</x:v>
      </x:c>
      <x:c r="D25" s="23" t="n">
        <x:v>9988</x:v>
      </x:c>
      <x:c r="E25" s="24" t="n">
        <x:v>0</x:v>
      </x:c>
      <x:c r="F25" s="21" t="str">
        <x:v>OBSERVED</x:v>
      </x:c>
      <x:c r="G25" s="22" t="n">
        <x:v>775</x:v>
      </x:c>
      <x:c r="H25" s="21" t="str">
        <x:v>ACI_AUTORITRATTO_2024</x:v>
      </x:c>
      <x:c r="I25" s="21" t="str">
        <x:v>2024</x:v>
      </x:c>
      <x:c r="J25" s="21" t="str">
        <x:v>RAFVG_REGIONAL_TABLE_2023</x:v>
      </x:c>
      <x:c r="K25" s="21" t="str">
        <x:v>REGIONAL_TABLE</x:v>
      </x:c>
      <x:c r="L25" s="21" t="str">
        <x:v>2023_Q4</x:v>
      </x:c>
    </x:row>
    <x:row r="26">
      <x:c r="A26" s="20" t="str">
        <x:v>030026</x:v>
      </x:c>
      <x:c r="B26" s="21" t="str">
        <x:v>Cividale del Friuli</x:v>
      </x:c>
      <x:c r="C26" s="22" t="n">
        <x:v>7986</x:v>
      </x:c>
      <x:c r="D26" s="23" t="n">
        <x:v>55322</x:v>
      </x:c>
      <x:c r="E26" s="24" t="n">
        <x:v>9618.12</x:v>
      </x:c>
      <x:c r="F26" s="21" t="str">
        <x:v>OBSERVED</x:v>
      </x:c>
      <x:c r="G26" s="22" t="n">
        <x:v>993</x:v>
      </x:c>
      <x:c r="H26" s="21" t="str">
        <x:v>ACI_AUTORITRATTO_2024</x:v>
      </x:c>
      <x:c r="I26" s="21" t="str">
        <x:v>2024</x:v>
      </x:c>
      <x:c r="J26" s="21" t="str">
        <x:v>RAFVG_REGIONAL_TABLE_2023</x:v>
      </x:c>
      <x:c r="K26" s="21" t="str">
        <x:v>NOT_ZERO</x:v>
      </x:c>
      <x:c r="L26" s="21" t="str">
        <x:v>2023_Q4</x:v>
      </x:c>
    </x:row>
    <x:row r="27">
      <x:c r="A27" s="20" t="str">
        <x:v>030027</x:v>
      </x:c>
      <x:c r="B27" s="21" t="str">
        <x:v>Codroipo</x:v>
      </x:c>
      <x:c r="C27" s="22" t="n">
        <x:v>11440</x:v>
      </x:c>
      <x:c r="D27" s="23" t="n">
        <x:v>40001</x:v>
      </x:c>
      <x:c r="E27" s="24" t="n">
        <x:v>23306.59</x:v>
      </x:c>
      <x:c r="F27" s="21" t="str">
        <x:v>OBSERVED</x:v>
      </x:c>
      <x:c r="G27" s="22" t="n">
        <x:v>385</x:v>
      </x:c>
      <x:c r="H27" s="21" t="str">
        <x:v>ACI_AUTORITRATTO_2024</x:v>
      </x:c>
      <x:c r="I27" s="21" t="str">
        <x:v>2024</x:v>
      </x:c>
      <x:c r="J27" s="21" t="str">
        <x:v>RAFVG_REGIONAL_TABLE_2023</x:v>
      </x:c>
      <x:c r="K27" s="21" t="str">
        <x:v>NOT_ZERO</x:v>
      </x:c>
      <x:c r="L27" s="21" t="str">
        <x:v>2023_Q4</x:v>
      </x:c>
    </x:row>
    <x:row r="28">
      <x:c r="A28" s="20" t="str">
        <x:v>030028</x:v>
      </x:c>
      <x:c r="B28" s="21" t="str">
        <x:v>Colloredo di Monte Albano</x:v>
      </x:c>
      <x:c r="C28" s="22" t="n">
        <x:v>1680</x:v>
      </x:c>
      <x:c r="D28" s="23" t="n">
        <x:v>391</x:v>
      </x:c>
      <x:c r="E28" s="24" t="n">
        <x:v>0</x:v>
      </x:c>
      <x:c r="F28" s="21" t="str">
        <x:v>OBSERVED</x:v>
      </x:c>
      <x:c r="G28" s="22" t="n">
        <x:v>29</x:v>
      </x:c>
      <x:c r="H28" s="21" t="str">
        <x:v>ACI_AUTORITRATTO_2024</x:v>
      </x:c>
      <x:c r="I28" s="21" t="str">
        <x:v>2024</x:v>
      </x:c>
      <x:c r="J28" s="21" t="str">
        <x:v>RAFVG_REGIONAL_TABLE_2023</x:v>
      </x:c>
      <x:c r="K28" s="21" t="str">
        <x:v>REGIONAL_TABLE</x:v>
      </x:c>
      <x:c r="L28" s="21" t="str">
        <x:v>2023_Q4</x:v>
      </x:c>
    </x:row>
    <x:row r="29">
      <x:c r="A29" s="20" t="str">
        <x:v>030029</x:v>
      </x:c>
      <x:c r="B29" s="21" t="str">
        <x:v>Comeglians</x:v>
      </x:c>
      <x:c r="C29" s="22" t="n">
        <x:v>322</x:v>
      </x:c>
      <x:c r="D29" s="23" t="n">
        <x:v>31944</x:v>
      </x:c>
      <x:c r="E29" s="24" t="n">
        <x:v>0</x:v>
      </x:c>
      <x:c r="F29" s="21" t="str">
        <x:v>OBSERVED</x:v>
      </x:c>
      <x:c r="G29" s="22" t="n">
        <x:v>330</x:v>
      </x:c>
      <x:c r="H29" s="21" t="str">
        <x:v>ACI_AUTORITRATTO_2024</x:v>
      </x:c>
      <x:c r="I29" s="21" t="str">
        <x:v>2024</x:v>
      </x:c>
      <x:c r="J29" s="21" t="str">
        <x:v>RAFVG_REGIONAL_TABLE_2023</x:v>
      </x:c>
      <x:c r="K29" s="21" t="str">
        <x:v>REGIONAL_TABLE</x:v>
      </x:c>
      <x:c r="L29" s="21" t="str">
        <x:v>2023_Q4</x:v>
      </x:c>
    </x:row>
    <x:row r="30">
      <x:c r="A30" s="20" t="str">
        <x:v>030030</x:v>
      </x:c>
      <x:c r="B30" s="21" t="str">
        <x:v>Corno di Rosazzo</x:v>
      </x:c>
      <x:c r="C30" s="22" t="n">
        <x:v>2354</x:v>
      </x:c>
      <x:c r="D30" s="23" t="n">
        <x:v>6245</x:v>
      </x:c>
      <x:c r="E30" s="24" t="n">
        <x:v>993.5</x:v>
      </x:c>
      <x:c r="F30" s="21" t="str">
        <x:v>OBSERVED</x:v>
      </x:c>
      <x:c r="G30" s="22" t="n">
        <x:v>129</x:v>
      </x:c>
      <x:c r="H30" s="21" t="str">
        <x:v>ACI_AUTORITRATTO_2024</x:v>
      </x:c>
      <x:c r="I30" s="21" t="str">
        <x:v>2024</x:v>
      </x:c>
      <x:c r="J30" s="21" t="str">
        <x:v>RAFVG_REGIONAL_TABLE_2023</x:v>
      </x:c>
      <x:c r="K30" s="21" t="str">
        <x:v>NOT_ZERO</x:v>
      </x:c>
      <x:c r="L30" s="21" t="str">
        <x:v>2023_Q4</x:v>
      </x:c>
    </x:row>
    <x:row r="31">
      <x:c r="A31" s="20" t="str">
        <x:v>030031</x:v>
      </x:c>
      <x:c r="B31" s="21" t="str">
        <x:v>Coseano</x:v>
      </x:c>
      <x:c r="C31" s="22" t="n">
        <x:v>1564</x:v>
      </x:c>
      <x:c r="D31" s="23" t="n">
        <x:v>3323</x:v>
      </x:c>
      <x:c r="E31" s="24" t="n">
        <x:v>1310</x:v>
      </x:c>
      <x:c r="F31" s="21" t="str">
        <x:v>OBSERVED</x:v>
      </x:c>
      <x:c r="G31" s="22" t="n">
        <x:v>38</x:v>
      </x:c>
      <x:c r="H31" s="21" t="str">
        <x:v>ACI_AUTORITRATTO_2024</x:v>
      </x:c>
      <x:c r="I31" s="21" t="str">
        <x:v>2024</x:v>
      </x:c>
      <x:c r="J31" s="21" t="str">
        <x:v>RAFVG_REGIONAL_TABLE_2023</x:v>
      </x:c>
      <x:c r="K31" s="21" t="str">
        <x:v>NOT_ZERO</x:v>
      </x:c>
      <x:c r="L31" s="21" t="str">
        <x:v>2023_Q4</x:v>
      </x:c>
    </x:row>
    <x:row r="32">
      <x:c r="A32" s="20" t="str">
        <x:v>030032</x:v>
      </x:c>
      <x:c r="B32" s="21" t="str">
        <x:v>Dignano</x:v>
      </x:c>
      <x:c r="C32" s="22" t="n">
        <x:v>1677</x:v>
      </x:c>
      <x:c r="D32" s="23" t="n">
        <x:v>316.6101694915254</x:v>
      </x:c>
      <x:c r="E32" s="24" t="n">
        <x:v>1900</x:v>
      </x:c>
      <x:c r="F32" s="21" t="str">
        <x:v>IMPUTED_BEDS_RESIDUAL</x:v>
      </x:c>
      <x:c r="G32" s="22" t="n">
        <x:v>20</x:v>
      </x:c>
      <x:c r="H32" s="21" t="str">
        <x:v>ACI_AUTORITRATTO_2024</x:v>
      </x:c>
      <x:c r="I32" s="21" t="str">
        <x:v>2024</x:v>
      </x:c>
      <x:c r="J32" s="21" t="str">
        <x:v>RAFVG_REGIONAL_TABLE_2023</x:v>
      </x:c>
      <x:c r="K32" s="21" t="str">
        <x:v>NOT_ZERO</x:v>
      </x:c>
      <x:c r="L32" s="21" t="str">
        <x:v>2023_Q4</x:v>
      </x:c>
    </x:row>
    <x:row r="33">
      <x:c r="A33" s="20" t="str">
        <x:v>030033</x:v>
      </x:c>
      <x:c r="B33" s="21" t="str">
        <x:v>Dogna</x:v>
      </x:c>
      <x:c r="C33" s="22" t="n">
        <x:v>120</x:v>
      </x:c>
      <x:c r="D33" s="23" t="n">
        <x:v>1901</x:v>
      </x:c>
      <x:c r="E33" s="24" t="n">
        <x:v>0</x:v>
      </x:c>
      <x:c r="F33" s="21" t="str">
        <x:v>OBSERVED</x:v>
      </x:c>
      <x:c r="G33" s="22" t="n">
        <x:v>60</x:v>
      </x:c>
      <x:c r="H33" s="21" t="str">
        <x:v>ACI_AUTORITRATTO_2024</x:v>
      </x:c>
      <x:c r="I33" s="21" t="str">
        <x:v>2024</x:v>
      </x:c>
      <x:c r="J33" s="21" t="str">
        <x:v>RAFVG_REGIONAL_TABLE_2023</x:v>
      </x:c>
      <x:c r="K33" s="21" t="str">
        <x:v>REGIONAL_TABLE</x:v>
      </x:c>
      <x:c r="L33" s="21" t="str">
        <x:v>2023_Q4</x:v>
      </x:c>
    </x:row>
    <x:row r="34">
      <x:c r="A34" s="20" t="str">
        <x:v>030034</x:v>
      </x:c>
      <x:c r="B34" s="21" t="str">
        <x:v>Drenchia</x:v>
      </x:c>
      <x:c r="C34" s="22" t="n">
        <x:v>68</x:v>
      </x:c>
      <x:c r="D34" s="23" t="n">
        <x:v>379.93220338983053</x:v>
      </x:c>
      <x:c r="E34" s="24" t="n">
        <x:v>0</x:v>
      </x:c>
      <x:c r="F34" s="21" t="str">
        <x:v>IMPUTED_BEDS_RESIDUAL</x:v>
      </x:c>
      <x:c r="G34" s="22" t="n">
        <x:v>24</x:v>
      </x:c>
      <x:c r="H34" s="21" t="str">
        <x:v>ACI_AUTORITRATTO_2024</x:v>
      </x:c>
      <x:c r="I34" s="21" t="str">
        <x:v>2024</x:v>
      </x:c>
      <x:c r="J34" s="21" t="str">
        <x:v>EXTERNAL_EVIDENCE_2023</x:v>
      </x:c>
      <x:c r="K34" s="21" t="str">
        <x:v>EXTERNAL_EVIDENCE</x:v>
      </x:c>
      <x:c r="L34" s="21" t="str">
        <x:v>2023</x:v>
      </x:c>
    </x:row>
    <x:row r="35">
      <x:c r="A35" s="20" t="str">
        <x:v>030035</x:v>
      </x:c>
      <x:c r="B35" s="21" t="str">
        <x:v>Enemonzo</x:v>
      </x:c>
      <x:c r="C35" s="22" t="n">
        <x:v>903</x:v>
      </x:c>
      <x:c r="D35" s="23" t="n">
        <x:v>2520</x:v>
      </x:c>
      <x:c r="E35" s="24" t="n">
        <x:v>0</x:v>
      </x:c>
      <x:c r="F35" s="21" t="str">
        <x:v>OBSERVED</x:v>
      </x:c>
      <x:c r="G35" s="22" t="n">
        <x:v>36</x:v>
      </x:c>
      <x:c r="H35" s="21" t="str">
        <x:v>ACI_AUTORITRATTO_2024</x:v>
      </x:c>
      <x:c r="I35" s="21" t="str">
        <x:v>2024</x:v>
      </x:c>
      <x:c r="J35" s="21" t="str">
        <x:v>RAFVG_REGIONAL_TABLE_2023</x:v>
      </x:c>
      <x:c r="K35" s="21" t="str">
        <x:v>REGIONAL_TABLE</x:v>
      </x:c>
      <x:c r="L35" s="21" t="str">
        <x:v>2023_Q4</x:v>
      </x:c>
    </x:row>
    <x:row r="36">
      <x:c r="A36" s="20" t="str">
        <x:v>030036</x:v>
      </x:c>
      <x:c r="B36" s="21" t="str">
        <x:v>Faedis</x:v>
      </x:c>
      <x:c r="C36" s="22" t="n">
        <x:v>2153</x:v>
      </x:c>
      <x:c r="D36" s="23" t="n">
        <x:v>2162</x:v>
      </x:c>
      <x:c r="E36" s="24" t="n">
        <x:v>1500</x:v>
      </x:c>
      <x:c r="F36" s="21" t="str">
        <x:v>OBSERVED</x:v>
      </x:c>
      <x:c r="G36" s="22" t="n">
        <x:v>214</x:v>
      </x:c>
      <x:c r="H36" s="21" t="str">
        <x:v>ACI_AUTORITRATTO_2024</x:v>
      </x:c>
      <x:c r="I36" s="21" t="str">
        <x:v>2024</x:v>
      </x:c>
      <x:c r="J36" s="21" t="str">
        <x:v>RAFVG_REGIONAL_TABLE_2023</x:v>
      </x:c>
      <x:c r="K36" s="21" t="str">
        <x:v>NOT_ZERO</x:v>
      </x:c>
      <x:c r="L36" s="21" t="str">
        <x:v>2023_Q4</x:v>
      </x:c>
    </x:row>
    <x:row r="37">
      <x:c r="A37" s="20" t="str">
        <x:v>030037</x:v>
      </x:c>
      <x:c r="B37" s="21" t="str">
        <x:v>Fagagna</x:v>
      </x:c>
      <x:c r="C37" s="22" t="n">
        <x:v>4577</x:v>
      </x:c>
      <x:c r="D37" s="23" t="n">
        <x:v>29316</x:v>
      </x:c>
      <x:c r="E37" s="24" t="n">
        <x:v>4811</x:v>
      </x:c>
      <x:c r="F37" s="21" t="str">
        <x:v>OBSERVED</x:v>
      </x:c>
      <x:c r="G37" s="22" t="n">
        <x:v>386</x:v>
      </x:c>
      <x:c r="H37" s="21" t="str">
        <x:v>ACI_AUTORITRATTO_2024</x:v>
      </x:c>
      <x:c r="I37" s="21" t="str">
        <x:v>2024</x:v>
      </x:c>
      <x:c r="J37" s="21" t="str">
        <x:v>RAFVG_REGIONAL_TABLE_2023</x:v>
      </x:c>
      <x:c r="K37" s="21" t="str">
        <x:v>NOT_ZERO</x:v>
      </x:c>
      <x:c r="L37" s="21" t="str">
        <x:v>2023_Q4</x:v>
      </x:c>
    </x:row>
    <x:row r="38">
      <x:c r="A38" s="20" t="str">
        <x:v>030039</x:v>
      </x:c>
      <x:c r="B38" s="21" t="str">
        <x:v>Flaibano</x:v>
      </x:c>
      <x:c r="C38" s="22" t="n">
        <x:v>804</x:v>
      </x:c>
      <x:c r="D38" s="23" t="n">
        <x:v>300.77966101694915</x:v>
      </x:c>
      <x:c r="E38" s="24" t="n">
        <x:v>0</x:v>
      </x:c>
      <x:c r="F38" s="21" t="str">
        <x:v>IMPUTED_BEDS_RESIDUAL</x:v>
      </x:c>
      <x:c r="G38" s="22" t="n">
        <x:v>19</x:v>
      </x:c>
      <x:c r="H38" s="21" t="str">
        <x:v>ACI_AUTORITRATTO_2024</x:v>
      </x:c>
      <x:c r="I38" s="21" t="str">
        <x:v>2024</x:v>
      </x:c>
      <x:c r="J38" s="21" t="str">
        <x:v>RAFVG_REGIONAL_TABLE_2023</x:v>
      </x:c>
      <x:c r="K38" s="21" t="str">
        <x:v>REGIONAL_TABLE</x:v>
      </x:c>
      <x:c r="L38" s="21" t="str">
        <x:v>2023_Q4</x:v>
      </x:c>
    </x:row>
    <x:row r="39">
      <x:c r="A39" s="20" t="str">
        <x:v>030040</x:v>
      </x:c>
      <x:c r="B39" s="21" t="str">
        <x:v>Forni Avoltri</x:v>
      </x:c>
      <x:c r="C39" s="22" t="n">
        <x:v>334</x:v>
      </x:c>
      <x:c r="D39" s="23" t="n">
        <x:v>95039</x:v>
      </x:c>
      <x:c r="E39" s="24" t="n">
        <x:v>0</x:v>
      </x:c>
      <x:c r="F39" s="21" t="str">
        <x:v>OBSERVED</x:v>
      </x:c>
      <x:c r="G39" s="22" t="n">
        <x:v>2001</x:v>
      </x:c>
      <x:c r="H39" s="21" t="str">
        <x:v>ACI_AUTORITRATTO_2024</x:v>
      </x:c>
      <x:c r="I39" s="21" t="str">
        <x:v>2024</x:v>
      </x:c>
      <x:c r="J39" s="21" t="str">
        <x:v>RAFVG_REGIONAL_TABLE_2023</x:v>
      </x:c>
      <x:c r="K39" s="21" t="str">
        <x:v>REGIONAL_TABLE</x:v>
      </x:c>
      <x:c r="L39" s="21" t="str">
        <x:v>2023_Q4</x:v>
      </x:c>
    </x:row>
    <x:row r="40">
      <x:c r="A40" s="20" t="str">
        <x:v>030041</x:v>
      </x:c>
      <x:c r="B40" s="21" t="str">
        <x:v>Forni di Sopra</x:v>
      </x:c>
      <x:c r="C40" s="22" t="n">
        <x:v>561</x:v>
      </x:c>
      <x:c r="D40" s="23" t="n">
        <x:v>40807</x:v>
      </x:c>
      <x:c r="E40" s="24" t="n">
        <x:v>0</x:v>
      </x:c>
      <x:c r="F40" s="21" t="str">
        <x:v>OBSERVED</x:v>
      </x:c>
      <x:c r="G40" s="22" t="n">
        <x:v>1321</x:v>
      </x:c>
      <x:c r="H40" s="21" t="str">
        <x:v>ACI_AUTORITRATTO_2024</x:v>
      </x:c>
      <x:c r="I40" s="21" t="str">
        <x:v>2024</x:v>
      </x:c>
      <x:c r="J40" s="21" t="str">
        <x:v>RAFVG_REGIONAL_TABLE_2023</x:v>
      </x:c>
      <x:c r="K40" s="21" t="str">
        <x:v>REGIONAL_TABLE</x:v>
      </x:c>
      <x:c r="L40" s="21" t="str">
        <x:v>2023_Q4</x:v>
      </x:c>
    </x:row>
    <x:row r="41">
      <x:c r="A41" s="20" t="str">
        <x:v>030042</x:v>
      </x:c>
      <x:c r="B41" s="21" t="str">
        <x:v>Forni di Sotto</x:v>
      </x:c>
      <x:c r="C41" s="22" t="n">
        <x:v>305</x:v>
      </x:c>
      <x:c r="D41" s="23" t="n">
        <x:v>5091</x:v>
      </x:c>
      <x:c r="E41" s="24" t="n">
        <x:v>0</x:v>
      </x:c>
      <x:c r="F41" s="21" t="str">
        <x:v>OBSERVED</x:v>
      </x:c>
      <x:c r="G41" s="22" t="n">
        <x:v>255</x:v>
      </x:c>
      <x:c r="H41" s="21" t="str">
        <x:v>ACI_AUTORITRATTO_2024</x:v>
      </x:c>
      <x:c r="I41" s="21" t="str">
        <x:v>2024</x:v>
      </x:c>
      <x:c r="J41" s="21" t="str">
        <x:v>RAFVG_REGIONAL_TABLE_2023</x:v>
      </x:c>
      <x:c r="K41" s="21" t="str">
        <x:v>REGIONAL_TABLE</x:v>
      </x:c>
      <x:c r="L41" s="21" t="str">
        <x:v>2023_Q4</x:v>
      </x:c>
    </x:row>
    <x:row r="42">
      <x:c r="A42" s="20" t="str">
        <x:v>030043</x:v>
      </x:c>
      <x:c r="B42" s="21" t="str">
        <x:v>Gemona del Friuli</x:v>
      </x:c>
      <x:c r="C42" s="22" t="n">
        <x:v>7858</x:v>
      </x:c>
      <x:c r="D42" s="23" t="n">
        <x:v>40468</x:v>
      </x:c>
      <x:c r="E42" s="24" t="n">
        <x:v>39063</x:v>
      </x:c>
      <x:c r="F42" s="21" t="str">
        <x:v>OBSERVED</x:v>
      </x:c>
      <x:c r="G42" s="22" t="n">
        <x:v>463</x:v>
      </x:c>
      <x:c r="H42" s="21" t="str">
        <x:v>ACI_AUTORITRATTO_2024</x:v>
      </x:c>
      <x:c r="I42" s="21" t="str">
        <x:v>2024</x:v>
      </x:c>
      <x:c r="J42" s="21" t="str">
        <x:v>RAFVG_REGIONAL_TABLE_2023</x:v>
      </x:c>
      <x:c r="K42" s="21" t="str">
        <x:v>NOT_ZERO</x:v>
      </x:c>
      <x:c r="L42" s="21" t="str">
        <x:v>2023_Q4</x:v>
      </x:c>
    </x:row>
    <x:row r="43">
      <x:c r="A43" s="20" t="str">
        <x:v>030044</x:v>
      </x:c>
      <x:c r="B43" s="21" t="str">
        <x:v>Gonars</x:v>
      </x:c>
      <x:c r="C43" s="22" t="n">
        <x:v>3391</x:v>
      </x:c>
      <x:c r="D43" s="23" t="n">
        <x:v>2413</x:v>
      </x:c>
      <x:c r="E43" s="24" t="n">
        <x:v>498</x:v>
      </x:c>
      <x:c r="F43" s="21" t="str">
        <x:v>OBSERVED</x:v>
      </x:c>
      <x:c r="G43" s="22" t="n">
        <x:v>41</x:v>
      </x:c>
      <x:c r="H43" s="21" t="str">
        <x:v>ACI_AUTORITRATTO_2024</x:v>
      </x:c>
      <x:c r="I43" s="21" t="str">
        <x:v>2024</x:v>
      </x:c>
      <x:c r="J43" s="21" t="str">
        <x:v>RAFVG_REGIONAL_TABLE_2023</x:v>
      </x:c>
      <x:c r="K43" s="21" t="str">
        <x:v>NOT_ZERO</x:v>
      </x:c>
      <x:c r="L43" s="21" t="str">
        <x:v>2022_Q2</x:v>
      </x:c>
    </x:row>
    <x:row r="44">
      <x:c r="A44" s="20" t="str">
        <x:v>030045</x:v>
      </x:c>
      <x:c r="B44" s="21" t="str">
        <x:v>Grimacco</x:v>
      </x:c>
      <x:c r="C44" s="22" t="n">
        <x:v>266</x:v>
      </x:c>
      <x:c r="D44" s="23" t="n">
        <x:v>3169</x:v>
      </x:c>
      <x:c r="E44" s="24" t="n">
        <x:v>0</x:v>
      </x:c>
      <x:c r="F44" s="21" t="str">
        <x:v>OBSERVED</x:v>
      </x:c>
      <x:c r="G44" s="22" t="n">
        <x:v>169</x:v>
      </x:c>
      <x:c r="H44" s="21" t="str">
        <x:v>ACI_AUTORITRATTO_2024</x:v>
      </x:c>
      <x:c r="I44" s="21" t="str">
        <x:v>2024</x:v>
      </x:c>
      <x:c r="J44" s="21" t="str">
        <x:v>EXTERNAL_EVIDENCE_2023</x:v>
      </x:c>
      <x:c r="K44" s="21" t="str">
        <x:v>EXTERNAL_EVIDENCE</x:v>
      </x:c>
      <x:c r="L44" s="21" t="str">
        <x:v>2023</x:v>
      </x:c>
    </x:row>
    <x:row r="45">
      <x:c r="A45" s="20" t="str">
        <x:v>030046</x:v>
      </x:c>
      <x:c r="B45" s="21" t="str">
        <x:v>Latisana</x:v>
      </x:c>
      <x:c r="C45" s="22" t="n">
        <x:v>9462</x:v>
      </x:c>
      <x:c r="D45" s="23" t="n">
        <x:v>53444</x:v>
      </x:c>
      <x:c r="E45" s="24" t="n">
        <x:v>8197.8</x:v>
      </x:c>
      <x:c r="F45" s="21" t="str">
        <x:v>OBSERVED</x:v>
      </x:c>
      <x:c r="G45" s="22" t="n">
        <x:v>2203</x:v>
      </x:c>
      <x:c r="H45" s="21" t="str">
        <x:v>ACI_AUTORITRATTO_2024</x:v>
      </x:c>
      <x:c r="I45" s="21" t="str">
        <x:v>2024</x:v>
      </x:c>
      <x:c r="J45" s="21" t="str">
        <x:v>RAFVG_REGIONAL_TABLE_2023</x:v>
      </x:c>
      <x:c r="K45" s="21" t="str">
        <x:v>NOT_ZERO</x:v>
      </x:c>
      <x:c r="L45" s="21" t="str">
        <x:v>2023_Q4</x:v>
      </x:c>
    </x:row>
    <x:row r="46">
      <x:c r="A46" s="20" t="str">
        <x:v>030047</x:v>
      </x:c>
      <x:c r="B46" s="21" t="str">
        <x:v>Lauco</x:v>
      </x:c>
      <x:c r="C46" s="22" t="n">
        <x:v>439</x:v>
      </x:c>
      <x:c r="D46" s="23" t="n">
        <x:v>937</x:v>
      </x:c>
      <x:c r="E46" s="24" t="n">
        <x:v>0</x:v>
      </x:c>
      <x:c r="F46" s="21" t="str">
        <x:v>OBSERVED</x:v>
      </x:c>
      <x:c r="G46" s="22" t="n">
        <x:v>131</x:v>
      </x:c>
      <x:c r="H46" s="21" t="str">
        <x:v>ACI_AUTORITRATTO_2024</x:v>
      </x:c>
      <x:c r="I46" s="21" t="str">
        <x:v>2024</x:v>
      </x:c>
      <x:c r="J46" s="21" t="str">
        <x:v>RAFVG_REGIONAL_TABLE_2023</x:v>
      </x:c>
      <x:c r="K46" s="21" t="str">
        <x:v>REGIONAL_TABLE</x:v>
      </x:c>
      <x:c r="L46" s="21" t="str">
        <x:v>2023_Q4</x:v>
      </x:c>
    </x:row>
    <x:row r="47">
      <x:c r="A47" s="20" t="str">
        <x:v>030048</x:v>
      </x:c>
      <x:c r="B47" s="21" t="str">
        <x:v>Lestizza</x:v>
      </x:c>
      <x:c r="C47" s="22" t="n">
        <x:v>2711</x:v>
      </x:c>
      <x:c r="D47" s="23" t="n">
        <x:v>300.77966101694915</x:v>
      </x:c>
      <x:c r="E47" s="24" t="n">
        <x:v>0</x:v>
      </x:c>
      <x:c r="F47" s="21" t="str">
        <x:v>IMPUTED_BEDS_RESIDUAL</x:v>
      </x:c>
      <x:c r="G47" s="22" t="n">
        <x:v>19</x:v>
      </x:c>
      <x:c r="H47" s="21" t="str">
        <x:v>ACI_AUTORITRATTO_2024</x:v>
      </x:c>
      <x:c r="I47" s="21" t="str">
        <x:v>2024</x:v>
      </x:c>
      <x:c r="J47" s="21" t="str">
        <x:v>RAFVG_REGIONAL_TABLE_2023</x:v>
      </x:c>
      <x:c r="K47" s="21" t="str">
        <x:v>REGIONAL_TABLE</x:v>
      </x:c>
      <x:c r="L47" s="21" t="str">
        <x:v>2023_Q4</x:v>
      </x:c>
    </x:row>
    <x:row r="48">
      <x:c r="A48" s="20" t="str">
        <x:v>030049</x:v>
      </x:c>
      <x:c r="B48" s="21" t="str">
        <x:v>Lignano Sabbiadoro</x:v>
      </x:c>
      <x:c r="C48" s="22" t="n">
        <x:v>5128</x:v>
      </x:c>
      <x:c r="D48" s="23" t="n">
        <x:v>3618677</x:v>
      </x:c>
      <x:c r="E48" s="24" t="n">
        <x:v>9875</x:v>
      </x:c>
      <x:c r="F48" s="21" t="str">
        <x:v>OBSERVED</x:v>
      </x:c>
      <x:c r="G48" s="22" t="n">
        <x:v>70232</x:v>
      </x:c>
      <x:c r="H48" s="21" t="str">
        <x:v>ACI_AUTORITRATTO_2024</x:v>
      </x:c>
      <x:c r="I48" s="21" t="str">
        <x:v>2024</x:v>
      </x:c>
      <x:c r="J48" s="21" t="str">
        <x:v>RAFVG_REGIONAL_TABLE_2023</x:v>
      </x:c>
      <x:c r="K48" s="21" t="str">
        <x:v>NOT_ZERO</x:v>
      </x:c>
      <x:c r="L48" s="21" t="str">
        <x:v>2023_Q4</x:v>
      </x:c>
    </x:row>
    <x:row r="49">
      <x:c r="A49" s="20" t="str">
        <x:v>030051</x:v>
      </x:c>
      <x:c r="B49" s="21" t="str">
        <x:v>Lusevera</x:v>
      </x:c>
      <x:c r="C49" s="22" t="n">
        <x:v>478</x:v>
      </x:c>
      <x:c r="D49" s="23" t="n">
        <x:v>1434</x:v>
      </x:c>
      <x:c r="E49" s="24" t="n">
        <x:v>0</x:v>
      </x:c>
      <x:c r="F49" s="21" t="str">
        <x:v>OBSERVED</x:v>
      </x:c>
      <x:c r="G49" s="22" t="n">
        <x:v>118</x:v>
      </x:c>
      <x:c r="H49" s="21" t="str">
        <x:v>ACI_AUTORITRATTO_2024</x:v>
      </x:c>
      <x:c r="I49" s="21" t="str">
        <x:v>2024</x:v>
      </x:c>
      <x:c r="J49" s="21" t="str">
        <x:v>RAFVG_REGIONAL_TABLE_2023</x:v>
      </x:c>
      <x:c r="K49" s="21" t="str">
        <x:v>REGIONAL_TABLE</x:v>
      </x:c>
      <x:c r="L49" s="21" t="str">
        <x:v>2023_Q4</x:v>
      </x:c>
    </x:row>
    <x:row r="50">
      <x:c r="A50" s="20" t="str">
        <x:v>030052</x:v>
      </x:c>
      <x:c r="B50" s="21" t="str">
        <x:v>Magnano in Riviera</x:v>
      </x:c>
      <x:c r="C50" s="22" t="n">
        <x:v>1711</x:v>
      </x:c>
      <x:c r="D50" s="23" t="n">
        <x:v>109</x:v>
      </x:c>
      <x:c r="E50" s="24" t="n">
        <x:v>6625</x:v>
      </x:c>
      <x:c r="F50" s="21" t="str">
        <x:v>OBSERVED</x:v>
      </x:c>
      <x:c r="G50" s="22" t="n">
        <x:v>29</x:v>
      </x:c>
      <x:c r="H50" s="21" t="str">
        <x:v>ACI_AUTORITRATTO_2024</x:v>
      </x:c>
      <x:c r="I50" s="21" t="str">
        <x:v>2024</x:v>
      </x:c>
      <x:c r="J50" s="21" t="str">
        <x:v>RAFVG_REGIONAL_TABLE_2023</x:v>
      </x:c>
      <x:c r="K50" s="21" t="str">
        <x:v>NOT_ZERO</x:v>
      </x:c>
      <x:c r="L50" s="21" t="str">
        <x:v>2023_Q4</x:v>
      </x:c>
    </x:row>
    <x:row r="51">
      <x:c r="A51" s="20" t="str">
        <x:v>030053</x:v>
      </x:c>
      <x:c r="B51" s="21" t="str">
        <x:v>Majano</x:v>
      </x:c>
      <x:c r="C51" s="22" t="n">
        <x:v>4490</x:v>
      </x:c>
      <x:c r="D51" s="23" t="n">
        <x:v>2345</x:v>
      </x:c>
      <x:c r="E51" s="24" t="n">
        <x:v>5597.78</x:v>
      </x:c>
      <x:c r="F51" s="21" t="str">
        <x:v>OBSERVED</x:v>
      </x:c>
      <x:c r="G51" s="22" t="n">
        <x:v>135</x:v>
      </x:c>
      <x:c r="H51" s="21" t="str">
        <x:v>ACI_AUTORITRATTO_2024</x:v>
      </x:c>
      <x:c r="I51" s="21" t="str">
        <x:v>2024</x:v>
      </x:c>
      <x:c r="J51" s="21" t="str">
        <x:v>RAFVG_REGIONAL_TABLE_2023</x:v>
      </x:c>
      <x:c r="K51" s="21" t="str">
        <x:v>NOT_ZERO</x:v>
      </x:c>
      <x:c r="L51" s="21" t="str">
        <x:v>2023_Q4</x:v>
      </x:c>
    </x:row>
    <x:row r="52">
      <x:c r="A52" s="20" t="str">
        <x:v>030054</x:v>
      </x:c>
      <x:c r="B52" s="21" t="str">
        <x:v>Malborghetto Valbruna</x:v>
      </x:c>
      <x:c r="C52" s="22" t="n">
        <x:v>629</x:v>
      </x:c>
      <x:c r="D52" s="23" t="n">
        <x:v>33848</x:v>
      </x:c>
      <x:c r="E52" s="24" t="n">
        <x:v>0</x:v>
      </x:c>
      <x:c r="F52" s="21" t="str">
        <x:v>OBSERVED</x:v>
      </x:c>
      <x:c r="G52" s="22" t="n">
        <x:v>913</x:v>
      </x:c>
      <x:c r="H52" s="21" t="str">
        <x:v>ACI_AUTORITRATTO_2024</x:v>
      </x:c>
      <x:c r="I52" s="21" t="str">
        <x:v>2024</x:v>
      </x:c>
      <x:c r="J52" s="21" t="str">
        <x:v>RAFVG_REGIONAL_TABLE_2023</x:v>
      </x:c>
      <x:c r="K52" s="21" t="str">
        <x:v>REGIONAL_TABLE</x:v>
      </x:c>
      <x:c r="L52" s="21" t="str">
        <x:v>2023_Q4</x:v>
      </x:c>
    </x:row>
    <x:row r="53">
      <x:c r="A53" s="20" t="str">
        <x:v>030055</x:v>
      </x:c>
      <x:c r="B53" s="21" t="str">
        <x:v>Manzano</x:v>
      </x:c>
      <x:c r="C53" s="22" t="n">
        <x:v>4866</x:v>
      </x:c>
      <x:c r="D53" s="23" t="n">
        <x:v>5931</x:v>
      </x:c>
      <x:c r="E53" s="24" t="n">
        <x:v>5495.67</x:v>
      </x:c>
      <x:c r="F53" s="21" t="str">
        <x:v>OBSERVED</x:v>
      </x:c>
      <x:c r="G53" s="22" t="n">
        <x:v>122</x:v>
      </x:c>
      <x:c r="H53" s="21" t="str">
        <x:v>ACI_AUTORITRATTO_2024</x:v>
      </x:c>
      <x:c r="I53" s="21" t="str">
        <x:v>2024</x:v>
      </x:c>
      <x:c r="J53" s="21" t="str">
        <x:v>RAFVG_REGIONAL_TABLE_2023</x:v>
      </x:c>
      <x:c r="K53" s="21" t="str">
        <x:v>NOT_ZERO</x:v>
      </x:c>
      <x:c r="L53" s="21" t="str">
        <x:v>2023_Q4</x:v>
      </x:c>
    </x:row>
    <x:row r="54">
      <x:c r="A54" s="20" t="str">
        <x:v>030056</x:v>
      </x:c>
      <x:c r="B54" s="21" t="str">
        <x:v>Marano Lagunare</x:v>
      </x:c>
      <x:c r="C54" s="22" t="n">
        <x:v>1041</x:v>
      </x:c>
      <x:c r="D54" s="23" t="n">
        <x:v>13845</x:v>
      </x:c>
      <x:c r="E54" s="24" t="n">
        <x:v>1000</x:v>
      </x:c>
      <x:c r="F54" s="21" t="str">
        <x:v>OBSERVED</x:v>
      </x:c>
      <x:c r="G54" s="22" t="n">
        <x:v>178</x:v>
      </x:c>
      <x:c r="H54" s="21" t="str">
        <x:v>ACI_AUTORITRATTO_2024</x:v>
      </x:c>
      <x:c r="I54" s="21" t="str">
        <x:v>2024</x:v>
      </x:c>
      <x:c r="J54" s="21" t="str">
        <x:v>RAFVG_REGIONAL_TABLE_2023</x:v>
      </x:c>
      <x:c r="K54" s="21" t="str">
        <x:v>NOT_ZERO</x:v>
      </x:c>
      <x:c r="L54" s="21" t="str">
        <x:v>2023_Q4</x:v>
      </x:c>
    </x:row>
    <x:row r="55">
      <x:c r="A55" s="20" t="str">
        <x:v>030057</x:v>
      </x:c>
      <x:c r="B55" s="21" t="str">
        <x:v>Martignacco</x:v>
      </x:c>
      <x:c r="C55" s="22" t="n">
        <x:v>5217</x:v>
      </x:c>
      <x:c r="D55" s="23" t="n">
        <x:v>4800</x:v>
      </x:c>
      <x:c r="E55" s="24" t="n">
        <x:v>101694</x:v>
      </x:c>
      <x:c r="F55" s="21" t="str">
        <x:v>OBSERVED</x:v>
      </x:c>
      <x:c r="G55" s="22" t="n">
        <x:v>75</x:v>
      </x:c>
      <x:c r="H55" s="21" t="str">
        <x:v>ACI_AUTORITRATTO_2024</x:v>
      </x:c>
      <x:c r="I55" s="21" t="str">
        <x:v>2024</x:v>
      </x:c>
      <x:c r="J55" s="21" t="str">
        <x:v>RAFVG_REGIONAL_TABLE_2023</x:v>
      </x:c>
      <x:c r="K55" s="21" t="str">
        <x:v>NOT_ZERO</x:v>
      </x:c>
      <x:c r="L55" s="21" t="str">
        <x:v>2023_Q4</x:v>
      </x:c>
    </x:row>
    <x:row r="56">
      <x:c r="A56" s="20" t="str">
        <x:v>030058</x:v>
      </x:c>
      <x:c r="B56" s="21" t="str">
        <x:v>Mereto di Tomba</x:v>
      </x:c>
      <x:c r="C56" s="22" t="n">
        <x:v>1958</x:v>
      </x:c>
      <x:c r="D56" s="23" t="n">
        <x:v>31.661016949152543</x:v>
      </x:c>
      <x:c r="E56" s="24" t="n">
        <x:v>0</x:v>
      </x:c>
      <x:c r="F56" s="21" t="str">
        <x:v>IMPUTED_BEDS_RESIDUAL</x:v>
      </x:c>
      <x:c r="G56" s="22" t="n">
        <x:v>2</x:v>
      </x:c>
      <x:c r="H56" s="21" t="str">
        <x:v>ACI_AUTORITRATTO_2024</x:v>
      </x:c>
      <x:c r="I56" s="21" t="str">
        <x:v>2024</x:v>
      </x:c>
      <x:c r="J56" s="21" t="str">
        <x:v>RAFVG_REGIONAL_TABLE_2023</x:v>
      </x:c>
      <x:c r="K56" s="21" t="str">
        <x:v>REGIONAL_TABLE</x:v>
      </x:c>
      <x:c r="L56" s="21" t="str">
        <x:v>2023_Q4</x:v>
      </x:c>
    </x:row>
    <x:row r="57">
      <x:c r="A57" s="20" t="str">
        <x:v>030059</x:v>
      </x:c>
      <x:c r="B57" s="21" t="str">
        <x:v>Moggio Udinese</x:v>
      </x:c>
      <x:c r="C57" s="22" t="n">
        <x:v>1117</x:v>
      </x:c>
      <x:c r="D57" s="23" t="n">
        <x:v>6251</x:v>
      </x:c>
      <x:c r="E57" s="24" t="n">
        <x:v>0</x:v>
      </x:c>
      <x:c r="F57" s="21" t="str">
        <x:v>OBSERVED</x:v>
      </x:c>
      <x:c r="G57" s="22" t="n">
        <x:v>148</x:v>
      </x:c>
      <x:c r="H57" s="21" t="str">
        <x:v>ACI_AUTORITRATTO_2024</x:v>
      </x:c>
      <x:c r="I57" s="21" t="str">
        <x:v>2024</x:v>
      </x:c>
      <x:c r="J57" s="21" t="str">
        <x:v>RAFVG_REGIONAL_TABLE_2023</x:v>
      </x:c>
      <x:c r="K57" s="21" t="str">
        <x:v>REGIONAL_TABLE</x:v>
      </x:c>
      <x:c r="L57" s="21" t="str">
        <x:v>2023_Q4</x:v>
      </x:c>
    </x:row>
    <x:row r="58">
      <x:c r="A58" s="20" t="str">
        <x:v>030060</x:v>
      </x:c>
      <x:c r="B58" s="21" t="str">
        <x:v>Moimacco</x:v>
      </x:c>
      <x:c r="C58" s="22" t="n">
        <x:v>1246</x:v>
      </x:c>
      <x:c r="D58" s="23" t="n">
        <x:v>1512</x:v>
      </x:c>
      <x:c r="E58" s="24" t="n">
        <x:v>0</x:v>
      </x:c>
      <x:c r="F58" s="21" t="str">
        <x:v>OBSERVED</x:v>
      </x:c>
      <x:c r="G58" s="22" t="n">
        <x:v>48</x:v>
      </x:c>
      <x:c r="H58" s="21" t="str">
        <x:v>ACI_AUTORITRATTO_2024</x:v>
      </x:c>
      <x:c r="I58" s="21" t="str">
        <x:v>2024</x:v>
      </x:c>
      <x:c r="J58" s="21" t="str">
        <x:v>RAFVG_REGIONAL_TABLE_2023</x:v>
      </x:c>
      <x:c r="K58" s="21" t="str">
        <x:v>REGIONAL_TABLE</x:v>
      </x:c>
      <x:c r="L58" s="21" t="str">
        <x:v>2023_Q4</x:v>
      </x:c>
    </x:row>
    <x:row r="59">
      <x:c r="A59" s="20" t="str">
        <x:v>030061</x:v>
      </x:c>
      <x:c r="B59" s="21" t="str">
        <x:v>Montenars</x:v>
      </x:c>
      <x:c r="C59" s="22" t="n">
        <x:v>392</x:v>
      </x:c>
      <x:c r="D59" s="23" t="n">
        <x:v>158.3050847457627</x:v>
      </x:c>
      <x:c r="E59" s="24" t="n">
        <x:v>0</x:v>
      </x:c>
      <x:c r="F59" s="21" t="str">
        <x:v>IMPUTED_BEDS_RESIDUAL</x:v>
      </x:c>
      <x:c r="G59" s="22" t="n">
        <x:v>10</x:v>
      </x:c>
      <x:c r="H59" s="21" t="str">
        <x:v>ACI_AUTORITRATTO_2024</x:v>
      </x:c>
      <x:c r="I59" s="21" t="str">
        <x:v>2024</x:v>
      </x:c>
      <x:c r="J59" s="21" t="str">
        <x:v>RAFVG_REGIONAL_TABLE_2023</x:v>
      </x:c>
      <x:c r="K59" s="21" t="str">
        <x:v>REGIONAL_TABLE</x:v>
      </x:c>
      <x:c r="L59" s="21" t="str">
        <x:v>2023_Q4</x:v>
      </x:c>
    </x:row>
    <x:row r="60">
      <x:c r="A60" s="20" t="str">
        <x:v>030062</x:v>
      </x:c>
      <x:c r="B60" s="21" t="str">
        <x:v>Mortegliano</x:v>
      </x:c>
      <x:c r="C60" s="22" t="n">
        <x:v>3520</x:v>
      </x:c>
      <x:c r="D60" s="23" t="n">
        <x:v>4708</x:v>
      </x:c>
      <x:c r="E60" s="24" t="n">
        <x:v>1999</x:v>
      </x:c>
      <x:c r="F60" s="21" t="str">
        <x:v>OBSERVED</x:v>
      </x:c>
      <x:c r="G60" s="22" t="n">
        <x:v>120</x:v>
      </x:c>
      <x:c r="H60" s="21" t="str">
        <x:v>ACI_AUTORITRATTO_2024</x:v>
      </x:c>
      <x:c r="I60" s="21" t="str">
        <x:v>2024</x:v>
      </x:c>
      <x:c r="J60" s="21" t="str">
        <x:v>RAFVG_REGIONAL_TABLE_2023</x:v>
      </x:c>
      <x:c r="K60" s="21" t="str">
        <x:v>NOT_ZERO</x:v>
      </x:c>
      <x:c r="L60" s="21" t="str">
        <x:v>2023_Q4</x:v>
      </x:c>
    </x:row>
    <x:row r="61">
      <x:c r="A61" s="20" t="str">
        <x:v>030063</x:v>
      </x:c>
      <x:c r="B61" s="21" t="str">
        <x:v>Moruzzo</x:v>
      </x:c>
      <x:c r="C61" s="22" t="n">
        <x:v>1829</x:v>
      </x:c>
      <x:c r="D61" s="23" t="n">
        <x:v>1311</x:v>
      </x:c>
      <x:c r="E61" s="24" t="n">
        <x:v>0</x:v>
      </x:c>
      <x:c r="F61" s="21" t="str">
        <x:v>OBSERVED</x:v>
      </x:c>
      <x:c r="G61" s="22" t="n">
        <x:v>88</x:v>
      </x:c>
      <x:c r="H61" s="21" t="str">
        <x:v>ACI_AUTORITRATTO_2024</x:v>
      </x:c>
      <x:c r="I61" s="21" t="str">
        <x:v>2024</x:v>
      </x:c>
      <x:c r="J61" s="21" t="str">
        <x:v>RAFVG_REGIONAL_TABLE_2023</x:v>
      </x:c>
      <x:c r="K61" s="21" t="str">
        <x:v>REGIONAL_TABLE</x:v>
      </x:c>
      <x:c r="L61" s="21" t="str">
        <x:v>2023_Q4</x:v>
      </x:c>
    </x:row>
    <x:row r="62">
      <x:c r="A62" s="20" t="str">
        <x:v>030064</x:v>
      </x:c>
      <x:c r="B62" s="21" t="str">
        <x:v>Muzzana del Turgnano</x:v>
      </x:c>
      <x:c r="C62" s="22" t="n">
        <x:v>1724</x:v>
      </x:c>
      <x:c r="D62" s="23" t="n">
        <x:v>5615</x:v>
      </x:c>
      <x:c r="E62" s="24" t="n">
        <x:v>0</x:v>
      </x:c>
      <x:c r="F62" s="21" t="str">
        <x:v>OBSERVED</x:v>
      </x:c>
      <x:c r="G62" s="22" t="n">
        <x:v>31</x:v>
      </x:c>
      <x:c r="H62" s="21" t="str">
        <x:v>ACI_AUTORITRATTO_2024</x:v>
      </x:c>
      <x:c r="I62" s="21" t="str">
        <x:v>2024</x:v>
      </x:c>
      <x:c r="J62" s="21" t="str">
        <x:v>RAFVG_REGIONAL_TABLE_2023</x:v>
      </x:c>
      <x:c r="K62" s="21" t="str">
        <x:v>REGIONAL_TABLE</x:v>
      </x:c>
      <x:c r="L62" s="21" t="str">
        <x:v>2023_Q4</x:v>
      </x:c>
    </x:row>
    <x:row r="63">
      <x:c r="A63" s="20" t="str">
        <x:v>030065</x:v>
      </x:c>
      <x:c r="B63" s="21" t="str">
        <x:v>Nimis</x:v>
      </x:c>
      <x:c r="C63" s="22" t="n">
        <x:v>2003</x:v>
      </x:c>
      <x:c r="D63" s="23" t="n">
        <x:v>2634</x:v>
      </x:c>
      <x:c r="E63" s="24" t="n">
        <x:v>1500</x:v>
      </x:c>
      <x:c r="F63" s="21" t="str">
        <x:v>OBSERVED</x:v>
      </x:c>
      <x:c r="G63" s="22" t="n">
        <x:v>253</x:v>
      </x:c>
      <x:c r="H63" s="21" t="str">
        <x:v>ACI_AUTORITRATTO_2024</x:v>
      </x:c>
      <x:c r="I63" s="21" t="str">
        <x:v>2024</x:v>
      </x:c>
      <x:c r="J63" s="21" t="str">
        <x:v>RAFVG_REGIONAL_TABLE_2023</x:v>
      </x:c>
      <x:c r="K63" s="21" t="str">
        <x:v>NOT_ZERO</x:v>
      </x:c>
      <x:c r="L63" s="21" t="str">
        <x:v>2023_Q4</x:v>
      </x:c>
    </x:row>
    <x:row r="64">
      <x:c r="A64" s="20" t="str">
        <x:v>030066</x:v>
      </x:c>
      <x:c r="B64" s="21" t="str">
        <x:v>Osoppo</x:v>
      </x:c>
      <x:c r="C64" s="22" t="n">
        <x:v>2136</x:v>
      </x:c>
      <x:c r="D64" s="23" t="n">
        <x:v>5447</x:v>
      </x:c>
      <x:c r="E64" s="24" t="n">
        <x:v>3670.06</x:v>
      </x:c>
      <x:c r="F64" s="21" t="str">
        <x:v>OBSERVED</x:v>
      </x:c>
      <x:c r="G64" s="22" t="n">
        <x:v>102</x:v>
      </x:c>
      <x:c r="H64" s="21" t="str">
        <x:v>ACI_AUTORITRATTO_2024</x:v>
      </x:c>
      <x:c r="I64" s="21" t="str">
        <x:v>2024</x:v>
      </x:c>
      <x:c r="J64" s="21" t="str">
        <x:v>RAFVG_REGIONAL_TABLE_2023</x:v>
      </x:c>
      <x:c r="K64" s="21" t="str">
        <x:v>NOT_ZERO</x:v>
      </x:c>
      <x:c r="L64" s="21" t="str">
        <x:v>2023_Q4</x:v>
      </x:c>
    </x:row>
    <x:row r="65">
      <x:c r="A65" s="20" t="str">
        <x:v>030067</x:v>
      </x:c>
      <x:c r="B65" s="21" t="str">
        <x:v>Ovaro</x:v>
      </x:c>
      <x:c r="C65" s="22" t="n">
        <x:v>1243</x:v>
      </x:c>
      <x:c r="D65" s="23" t="n">
        <x:v>17538</x:v>
      </x:c>
      <x:c r="E65" s="24" t="n">
        <x:v>0</x:v>
      </x:c>
      <x:c r="F65" s="21" t="str">
        <x:v>OBSERVED</x:v>
      </x:c>
      <x:c r="G65" s="22" t="n">
        <x:v>408</x:v>
      </x:c>
      <x:c r="H65" s="21" t="str">
        <x:v>ACI_AUTORITRATTO_2024</x:v>
      </x:c>
      <x:c r="I65" s="21" t="str">
        <x:v>2024</x:v>
      </x:c>
      <x:c r="J65" s="21" t="str">
        <x:v>RAFVG_REGIONAL_TABLE_2023</x:v>
      </x:c>
      <x:c r="K65" s="21" t="str">
        <x:v>REGIONAL_TABLE</x:v>
      </x:c>
      <x:c r="L65" s="21" t="str">
        <x:v>2023_Q4</x:v>
      </x:c>
    </x:row>
    <x:row r="66">
      <x:c r="A66" s="20" t="str">
        <x:v>030068</x:v>
      </x:c>
      <x:c r="B66" s="21" t="str">
        <x:v>Pagnacco</x:v>
      </x:c>
      <x:c r="C66" s="22" t="n">
        <x:v>3867</x:v>
      </x:c>
      <x:c r="D66" s="23" t="n">
        <x:v>316.6101694915254</x:v>
      </x:c>
      <x:c r="E66" s="24" t="n">
        <x:v>670.65</x:v>
      </x:c>
      <x:c r="F66" s="21" t="str">
        <x:v>IMPUTED_BEDS_RESIDUAL</x:v>
      </x:c>
      <x:c r="G66" s="22" t="n">
        <x:v>20</x:v>
      </x:c>
      <x:c r="H66" s="21" t="str">
        <x:v>ACI_AUTORITRATTO_2024</x:v>
      </x:c>
      <x:c r="I66" s="21" t="str">
        <x:v>2024</x:v>
      </x:c>
      <x:c r="J66" s="21" t="str">
        <x:v>RAFVG_REGIONAL_TABLE_2023</x:v>
      </x:c>
      <x:c r="K66" s="21" t="str">
        <x:v>NOT_ZERO</x:v>
      </x:c>
      <x:c r="L66" s="21" t="str">
        <x:v>2023_Q4</x:v>
      </x:c>
    </x:row>
    <x:row r="67">
      <x:c r="A67" s="20" t="str">
        <x:v>030069</x:v>
      </x:c>
      <x:c r="B67" s="21" t="str">
        <x:v>Palazzolo dello Stella</x:v>
      </x:c>
      <x:c r="C67" s="22" t="n">
        <x:v>1972</x:v>
      </x:c>
      <x:c r="D67" s="23" t="n">
        <x:v>23719</x:v>
      </x:c>
      <x:c r="E67" s="24" t="n">
        <x:v>2236.4</x:v>
      </x:c>
      <x:c r="F67" s="21" t="str">
        <x:v>OBSERVED</x:v>
      </x:c>
      <x:c r="G67" s="22" t="n">
        <x:v>182</x:v>
      </x:c>
      <x:c r="H67" s="21" t="str">
        <x:v>ACI_AUTORITRATTO_2024</x:v>
      </x:c>
      <x:c r="I67" s="21" t="str">
        <x:v>2024</x:v>
      </x:c>
      <x:c r="J67" s="21" t="str">
        <x:v>RAFVG_REGIONAL_TABLE_2023</x:v>
      </x:c>
      <x:c r="K67" s="21" t="str">
        <x:v>NOT_ZERO</x:v>
      </x:c>
      <x:c r="L67" s="21" t="str">
        <x:v>2023_Q4</x:v>
      </x:c>
    </x:row>
    <x:row r="68">
      <x:c r="A68" s="20" t="str">
        <x:v>030070</x:v>
      </x:c>
      <x:c r="B68" s="21" t="str">
        <x:v>Palmanova</x:v>
      </x:c>
      <x:c r="C68" s="22" t="n">
        <x:v>3670</x:v>
      </x:c>
      <x:c r="D68" s="23" t="n">
        <x:v>33155</x:v>
      </x:c>
      <x:c r="E68" s="24" t="n">
        <x:v>3468</x:v>
      </x:c>
      <x:c r="F68" s="21" t="str">
        <x:v>OBSERVED</x:v>
      </x:c>
      <x:c r="G68" s="22" t="n">
        <x:v>280</x:v>
      </x:c>
      <x:c r="H68" s="21" t="str">
        <x:v>ACI_AUTORITRATTO_2024</x:v>
      </x:c>
      <x:c r="I68" s="21" t="str">
        <x:v>2024</x:v>
      </x:c>
      <x:c r="J68" s="21" t="str">
        <x:v>RAFVG_REGIONAL_TABLE_2023</x:v>
      </x:c>
      <x:c r="K68" s="21" t="str">
        <x:v>NOT_ZERO</x:v>
      </x:c>
      <x:c r="L68" s="21" t="str">
        <x:v>2023_Q4</x:v>
      </x:c>
    </x:row>
    <x:row r="69">
      <x:c r="A69" s="20" t="str">
        <x:v>030071</x:v>
      </x:c>
      <x:c r="B69" s="21" t="str">
        <x:v>Paluzza</x:v>
      </x:c>
      <x:c r="C69" s="22" t="n">
        <x:v>1373</x:v>
      </x:c>
      <x:c r="D69" s="23" t="n">
        <x:v>16649</x:v>
      </x:c>
      <x:c r="E69" s="24" t="n">
        <x:v>0</x:v>
      </x:c>
      <x:c r="F69" s="21" t="str">
        <x:v>OBSERVED</x:v>
      </x:c>
      <x:c r="G69" s="22" t="n">
        <x:v>456</x:v>
      </x:c>
      <x:c r="H69" s="21" t="str">
        <x:v>ACI_AUTORITRATTO_2024</x:v>
      </x:c>
      <x:c r="I69" s="21" t="str">
        <x:v>2024</x:v>
      </x:c>
      <x:c r="J69" s="21" t="str">
        <x:v>RAFVG_REGIONAL_TABLE_2023</x:v>
      </x:c>
      <x:c r="K69" s="21" t="str">
        <x:v>REGIONAL_TABLE</x:v>
      </x:c>
      <x:c r="L69" s="21" t="str">
        <x:v>2023_Q4</x:v>
      </x:c>
    </x:row>
    <x:row r="70">
      <x:c r="A70" s="20" t="str">
        <x:v>030072</x:v>
      </x:c>
      <x:c r="B70" s="21" t="str">
        <x:v>Pasian di Prato</x:v>
      </x:c>
      <x:c r="C70" s="22" t="n">
        <x:v>6726</x:v>
      </x:c>
      <x:c r="D70" s="23" t="n">
        <x:v>4930</x:v>
      </x:c>
      <x:c r="E70" s="24" t="n">
        <x:v>1299</x:v>
      </x:c>
      <x:c r="F70" s="21" t="str">
        <x:v>OBSERVED</x:v>
      </x:c>
      <x:c r="G70" s="22" t="n">
        <x:v>63</x:v>
      </x:c>
      <x:c r="H70" s="21" t="str">
        <x:v>ACI_AUTORITRATTO_2024</x:v>
      </x:c>
      <x:c r="I70" s="21" t="str">
        <x:v>2024</x:v>
      </x:c>
      <x:c r="J70" s="21" t="str">
        <x:v>RAFVG_REGIONAL_TABLE_2023</x:v>
      </x:c>
      <x:c r="K70" s="21" t="str">
        <x:v>NOT_ZERO</x:v>
      </x:c>
      <x:c r="L70" s="21" t="str">
        <x:v>2023_Q4</x:v>
      </x:c>
    </x:row>
    <x:row r="71">
      <x:c r="A71" s="20" t="str">
        <x:v>030073</x:v>
      </x:c>
      <x:c r="B71" s="21" t="str">
        <x:v>Paularo</x:v>
      </x:c>
      <x:c r="C71" s="22" t="n">
        <x:v>1438</x:v>
      </x:c>
      <x:c r="D71" s="23" t="n">
        <x:v>4445</x:v>
      </x:c>
      <x:c r="E71" s="24" t="n">
        <x:v>0</x:v>
      </x:c>
      <x:c r="F71" s="21" t="str">
        <x:v>OBSERVED</x:v>
      </x:c>
      <x:c r="G71" s="22" t="n">
        <x:v>275</x:v>
      </x:c>
      <x:c r="H71" s="21" t="str">
        <x:v>ACI_AUTORITRATTO_2024</x:v>
      </x:c>
      <x:c r="I71" s="21" t="str">
        <x:v>2024</x:v>
      </x:c>
      <x:c r="J71" s="21" t="str">
        <x:v>RAFVG_REGIONAL_TABLE_2023</x:v>
      </x:c>
      <x:c r="K71" s="21" t="str">
        <x:v>REGIONAL_TABLE</x:v>
      </x:c>
      <x:c r="L71" s="21" t="str">
        <x:v>2023_Q4</x:v>
      </x:c>
    </x:row>
    <x:row r="72">
      <x:c r="A72" s="20" t="str">
        <x:v>030074</x:v>
      </x:c>
      <x:c r="B72" s="21" t="str">
        <x:v>Pavia di Udine</x:v>
      </x:c>
      <x:c r="C72" s="22" t="n">
        <x:v>4236</x:v>
      </x:c>
      <x:c r="D72" s="23" t="n">
        <x:v>3838</x:v>
      </x:c>
      <x:c r="E72" s="24" t="n">
        <x:v>6020</x:v>
      </x:c>
      <x:c r="F72" s="21" t="str">
        <x:v>OBSERVED</x:v>
      </x:c>
      <x:c r="G72" s="22" t="n">
        <x:v>134</x:v>
      </x:c>
      <x:c r="H72" s="21" t="str">
        <x:v>ACI_AUTORITRATTO_2024</x:v>
      </x:c>
      <x:c r="I72" s="21" t="str">
        <x:v>2024</x:v>
      </x:c>
      <x:c r="J72" s="21" t="str">
        <x:v>RAFVG_REGIONAL_TABLE_2023</x:v>
      </x:c>
      <x:c r="K72" s="21" t="str">
        <x:v>NOT_ZERO</x:v>
      </x:c>
      <x:c r="L72" s="21" t="str">
        <x:v>2023_Q4</x:v>
      </x:c>
    </x:row>
    <x:row r="73">
      <x:c r="A73" s="20" t="str">
        <x:v>030075</x:v>
      </x:c>
      <x:c r="B73" s="21" t="str">
        <x:v>Pocenia</x:v>
      </x:c>
      <x:c r="C73" s="22" t="n">
        <x:v>1724</x:v>
      </x:c>
      <x:c r="D73" s="23" t="n">
        <x:v>3165</x:v>
      </x:c>
      <x:c r="E73" s="24" t="n">
        <x:v>6190</x:v>
      </x:c>
      <x:c r="F73" s="21" t="str">
        <x:v>OBSERVED</x:v>
      </x:c>
      <x:c r="G73" s="22" t="n">
        <x:v>72</x:v>
      </x:c>
      <x:c r="H73" s="21" t="str">
        <x:v>ACI_AUTORITRATTO_2024</x:v>
      </x:c>
      <x:c r="I73" s="21" t="str">
        <x:v>2024</x:v>
      </x:c>
      <x:c r="J73" s="21" t="str">
        <x:v>RAFVG_REGIONAL_TABLE_2023</x:v>
      </x:c>
      <x:c r="K73" s="21" t="str">
        <x:v>NOT_ZERO</x:v>
      </x:c>
      <x:c r="L73" s="21" t="str">
        <x:v>2023_Q4</x:v>
      </x:c>
    </x:row>
    <x:row r="74">
      <x:c r="A74" s="20" t="str">
        <x:v>030076</x:v>
      </x:c>
      <x:c r="B74" s="21" t="str">
        <x:v>Pontebba</x:v>
      </x:c>
      <x:c r="C74" s="22" t="n">
        <x:v>904</x:v>
      </x:c>
      <x:c r="D74" s="23" t="n">
        <x:v>24415</x:v>
      </x:c>
      <x:c r="E74" s="24" t="n">
        <x:v>0</x:v>
      </x:c>
      <x:c r="F74" s="21" t="str">
        <x:v>OBSERVED</x:v>
      </x:c>
      <x:c r="G74" s="22" t="n">
        <x:v>441</x:v>
      </x:c>
      <x:c r="H74" s="21" t="str">
        <x:v>ACI_AUTORITRATTO_2024</x:v>
      </x:c>
      <x:c r="I74" s="21" t="str">
        <x:v>2024</x:v>
      </x:c>
      <x:c r="J74" s="21" t="str">
        <x:v>RAFVG_REGIONAL_TABLE_2023</x:v>
      </x:c>
      <x:c r="K74" s="21" t="str">
        <x:v>REGIONAL_TABLE</x:v>
      </x:c>
      <x:c r="L74" s="21" t="str">
        <x:v>2023_Q4</x:v>
      </x:c>
    </x:row>
    <x:row r="75">
      <x:c r="A75" s="20" t="str">
        <x:v>030077</x:v>
      </x:c>
      <x:c r="B75" s="21" t="str">
        <x:v>Porpetto</x:v>
      </x:c>
      <x:c r="C75" s="22" t="n">
        <x:v>1883</x:v>
      </x:c>
      <x:c r="D75" s="23" t="n">
        <x:v>775.6949152542373</x:v>
      </x:c>
      <x:c r="E75" s="24" t="n">
        <x:v>3588.76</x:v>
      </x:c>
      <x:c r="F75" s="21" t="str">
        <x:v>IMPUTED_BEDS_RESIDUAL</x:v>
      </x:c>
      <x:c r="G75" s="22" t="n">
        <x:v>49</x:v>
      </x:c>
      <x:c r="H75" s="21" t="str">
        <x:v>ACI_AUTORITRATTO_2024</x:v>
      </x:c>
      <x:c r="I75" s="21" t="str">
        <x:v>2024</x:v>
      </x:c>
      <x:c r="J75" s="21" t="str">
        <x:v>RAFVG_REGIONAL_TABLE_2023</x:v>
      </x:c>
      <x:c r="K75" s="21" t="str">
        <x:v>NOT_ZERO</x:v>
      </x:c>
      <x:c r="L75" s="21" t="str">
        <x:v>2023_Q4</x:v>
      </x:c>
    </x:row>
    <x:row r="76">
      <x:c r="A76" s="20" t="str">
        <x:v>030078</x:v>
      </x:c>
      <x:c r="B76" s="21" t="str">
        <x:v>Povoletto</x:v>
      </x:c>
      <x:c r="C76" s="22" t="n">
        <x:v>4162</x:v>
      </x:c>
      <x:c r="D76" s="23" t="n">
        <x:v>8020</x:v>
      </x:c>
      <x:c r="E76" s="24" t="n">
        <x:v>2845</x:v>
      </x:c>
      <x:c r="F76" s="21" t="str">
        <x:v>OBSERVED</x:v>
      </x:c>
      <x:c r="G76" s="22" t="n">
        <x:v>238</x:v>
      </x:c>
      <x:c r="H76" s="21" t="str">
        <x:v>ACI_AUTORITRATTO_2024</x:v>
      </x:c>
      <x:c r="I76" s="21" t="str">
        <x:v>2024</x:v>
      </x:c>
      <x:c r="J76" s="21" t="str">
        <x:v>RAFVG_REGIONAL_TABLE_2023</x:v>
      </x:c>
      <x:c r="K76" s="21" t="str">
        <x:v>NOT_ZERO</x:v>
      </x:c>
      <x:c r="L76" s="21" t="str">
        <x:v>2023_Q4</x:v>
      </x:c>
    </x:row>
    <x:row r="77">
      <x:c r="A77" s="20" t="str">
        <x:v>030079</x:v>
      </x:c>
      <x:c r="B77" s="21" t="str">
        <x:v>Pozzuolo del Friuli</x:v>
      </x:c>
      <x:c r="C77" s="22" t="n">
        <x:v>5186</x:v>
      </x:c>
      <x:c r="D77" s="23" t="n">
        <x:v>1133</x:v>
      </x:c>
      <x:c r="E77" s="24" t="n">
        <x:v>37569</x:v>
      </x:c>
      <x:c r="F77" s="21" t="str">
        <x:v>OBSERVED</x:v>
      </x:c>
      <x:c r="G77" s="22" t="n">
        <x:v>102</x:v>
      </x:c>
      <x:c r="H77" s="21" t="str">
        <x:v>ACI_AUTORITRATTO_2024</x:v>
      </x:c>
      <x:c r="I77" s="21" t="str">
        <x:v>2024</x:v>
      </x:c>
      <x:c r="J77" s="21" t="str">
        <x:v>RAFVG_REGIONAL_TABLE_2023</x:v>
      </x:c>
      <x:c r="K77" s="21" t="str">
        <x:v>NOT_ZERO</x:v>
      </x:c>
      <x:c r="L77" s="21" t="str">
        <x:v>2023_Q4</x:v>
      </x:c>
    </x:row>
    <x:row r="78">
      <x:c r="A78" s="20" t="str">
        <x:v>030080</x:v>
      </x:c>
      <x:c r="B78" s="21" t="str">
        <x:v>Pradamano</x:v>
      </x:c>
      <x:c r="C78" s="22" t="n">
        <x:v>2721</x:v>
      </x:c>
      <x:c r="D78" s="23" t="n">
        <x:v>30748</x:v>
      </x:c>
      <x:c r="E78" s="24" t="n">
        <x:v>33509.17</x:v>
      </x:c>
      <x:c r="F78" s="21" t="str">
        <x:v>OBSERVED</x:v>
      </x:c>
      <x:c r="G78" s="22" t="n">
        <x:v>163</x:v>
      </x:c>
      <x:c r="H78" s="21" t="str">
        <x:v>ACI_AUTORITRATTO_2024</x:v>
      </x:c>
      <x:c r="I78" s="21" t="str">
        <x:v>2024</x:v>
      </x:c>
      <x:c r="J78" s="21" t="str">
        <x:v>RAFVG_REGIONAL_TABLE_2023</x:v>
      </x:c>
      <x:c r="K78" s="21" t="str">
        <x:v>NOT_ZERO</x:v>
      </x:c>
      <x:c r="L78" s="21" t="str">
        <x:v>2023_Q4</x:v>
      </x:c>
    </x:row>
    <x:row r="79">
      <x:c r="A79" s="20" t="str">
        <x:v>030081</x:v>
      </x:c>
      <x:c r="B79" s="21" t="str">
        <x:v>Prato Carnico</x:v>
      </x:c>
      <x:c r="C79" s="22" t="n">
        <x:v>544</x:v>
      </x:c>
      <x:c r="D79" s="23" t="n">
        <x:v>4855</x:v>
      </x:c>
      <x:c r="E79" s="24" t="n">
        <x:v>0</x:v>
      </x:c>
      <x:c r="F79" s="21" t="str">
        <x:v>OBSERVED</x:v>
      </x:c>
      <x:c r="G79" s="22" t="n">
        <x:v>421</x:v>
      </x:c>
      <x:c r="H79" s="21" t="str">
        <x:v>ACI_AUTORITRATTO_2024</x:v>
      </x:c>
      <x:c r="I79" s="21" t="str">
        <x:v>2024</x:v>
      </x:c>
      <x:c r="J79" s="21" t="str">
        <x:v>RAFVG_REGIONAL_TABLE_2023</x:v>
      </x:c>
      <x:c r="K79" s="21" t="str">
        <x:v>REGIONAL_TABLE</x:v>
      </x:c>
      <x:c r="L79" s="21" t="str">
        <x:v>2023_Q4</x:v>
      </x:c>
    </x:row>
    <x:row r="80">
      <x:c r="A80" s="20" t="str">
        <x:v>030082</x:v>
      </x:c>
      <x:c r="B80" s="21" t="str">
        <x:v>Precenicco</x:v>
      </x:c>
      <x:c r="C80" s="22" t="n">
        <x:v>1051</x:v>
      </x:c>
      <x:c r="D80" s="23" t="n">
        <x:v>411.59322033898303</x:v>
      </x:c>
      <x:c r="E80" s="24" t="n">
        <x:v>1676.5</x:v>
      </x:c>
      <x:c r="F80" s="21" t="str">
        <x:v>IMPUTED_BEDS_RESIDUAL</x:v>
      </x:c>
      <x:c r="G80" s="22" t="n">
        <x:v>26</x:v>
      </x:c>
      <x:c r="H80" s="21" t="str">
        <x:v>ACI_AUTORITRATTO_2024</x:v>
      </x:c>
      <x:c r="I80" s="21" t="str">
        <x:v>2024</x:v>
      </x:c>
      <x:c r="J80" s="21" t="str">
        <x:v>RAFVG_REGIONAL_TABLE_2023</x:v>
      </x:c>
      <x:c r="K80" s="21" t="str">
        <x:v>NOT_ZERO</x:v>
      </x:c>
      <x:c r="L80" s="21" t="str">
        <x:v>2023_Q4</x:v>
      </x:c>
    </x:row>
    <x:row r="81">
      <x:c r="A81" s="20" t="str">
        <x:v>030083</x:v>
      </x:c>
      <x:c r="B81" s="21" t="str">
        <x:v>Premariacco</x:v>
      </x:c>
      <x:c r="C81" s="22" t="n">
        <x:v>3135</x:v>
      </x:c>
      <x:c r="D81" s="23" t="n">
        <x:v>872</x:v>
      </x:c>
      <x:c r="E81" s="24" t="n">
        <x:v>675</x:v>
      </x:c>
      <x:c r="F81" s="21" t="str">
        <x:v>OBSERVED</x:v>
      </x:c>
      <x:c r="G81" s="22" t="n">
        <x:v>85</x:v>
      </x:c>
      <x:c r="H81" s="21" t="str">
        <x:v>ACI_AUTORITRATTO_2024</x:v>
      </x:c>
      <x:c r="I81" s="21" t="str">
        <x:v>2024</x:v>
      </x:c>
      <x:c r="J81" s="21" t="str">
        <x:v>RAFVG_REGIONAL_TABLE_2023</x:v>
      </x:c>
      <x:c r="K81" s="21" t="str">
        <x:v>NOT_ZERO</x:v>
      </x:c>
      <x:c r="L81" s="21" t="str">
        <x:v>2023_Q4</x:v>
      </x:c>
    </x:row>
    <x:row r="82">
      <x:c r="A82" s="20" t="str">
        <x:v>030084</x:v>
      </x:c>
      <x:c r="B82" s="21" t="str">
        <x:v>Preone</x:v>
      </x:c>
      <x:c r="C82" s="22" t="n">
        <x:v>173</x:v>
      </x:c>
      <x:c r="D82" s="23" t="n">
        <x:v>1320</x:v>
      </x:c>
      <x:c r="E82" s="24" t="n">
        <x:v>0</x:v>
      </x:c>
      <x:c r="F82" s="21" t="str">
        <x:v>OBSERVED</x:v>
      </x:c>
      <x:c r="G82" s="22" t="n">
        <x:v>138</x:v>
      </x:c>
      <x:c r="H82" s="21" t="str">
        <x:v>ACI_AUTORITRATTO_2024</x:v>
      </x:c>
      <x:c r="I82" s="21" t="str">
        <x:v>2024</x:v>
      </x:c>
      <x:c r="J82" s="21" t="str">
        <x:v>RAFVG_REGIONAL_TABLE_2023</x:v>
      </x:c>
      <x:c r="K82" s="21" t="str">
        <x:v>REGIONAL_TABLE</x:v>
      </x:c>
      <x:c r="L82" s="21" t="str">
        <x:v>2023_Q4</x:v>
      </x:c>
    </x:row>
    <x:row r="83">
      <x:c r="A83" s="20" t="str">
        <x:v>030085</x:v>
      </x:c>
      <x:c r="B83" s="21" t="str">
        <x:v>Prepotto</x:v>
      </x:c>
      <x:c r="C83" s="22" t="n">
        <x:v>579</x:v>
      </x:c>
      <x:c r="D83" s="23" t="n">
        <x:v>1726</x:v>
      </x:c>
      <x:c r="E83" s="24" t="n">
        <x:v>0</x:v>
      </x:c>
      <x:c r="F83" s="21" t="str">
        <x:v>OBSERVED</x:v>
      </x:c>
      <x:c r="G83" s="22" t="n">
        <x:v>181</x:v>
      </x:c>
      <x:c r="H83" s="21" t="str">
        <x:v>ACI_AUTORITRATTO_2024</x:v>
      </x:c>
      <x:c r="I83" s="21" t="str">
        <x:v>2024</x:v>
      </x:c>
      <x:c r="J83" s="21" t="str">
        <x:v>RAFVG_REGIONAL_TABLE_2023</x:v>
      </x:c>
      <x:c r="K83" s="21" t="str">
        <x:v>REGIONAL_TABLE</x:v>
      </x:c>
      <x:c r="L83" s="21" t="str">
        <x:v>2023_Q4</x:v>
      </x:c>
    </x:row>
    <x:row r="84">
      <x:c r="A84" s="20" t="str">
        <x:v>030086</x:v>
      </x:c>
      <x:c r="B84" s="21" t="str">
        <x:v>Pulfero</x:v>
      </x:c>
      <x:c r="C84" s="22" t="n">
        <x:v>648</x:v>
      </x:c>
      <x:c r="D84" s="23" t="n">
        <x:v>1832</x:v>
      </x:c>
      <x:c r="E84" s="24" t="n">
        <x:v>0</x:v>
      </x:c>
      <x:c r="F84" s="21" t="str">
        <x:v>OBSERVED</x:v>
      </x:c>
      <x:c r="G84" s="22" t="n">
        <x:v>293</x:v>
      </x:c>
      <x:c r="H84" s="21" t="str">
        <x:v>ACI_AUTORITRATTO_2024</x:v>
      </x:c>
      <x:c r="I84" s="21" t="str">
        <x:v>2024</x:v>
      </x:c>
      <x:c r="J84" s="21" t="str">
        <x:v>RAFVG_REGIONAL_TABLE_2023</x:v>
      </x:c>
      <x:c r="K84" s="21" t="str">
        <x:v>REGIONAL_TABLE</x:v>
      </x:c>
      <x:c r="L84" s="21" t="str">
        <x:v>2023_Q4</x:v>
      </x:c>
    </x:row>
    <x:row r="85">
      <x:c r="A85" s="20" t="str">
        <x:v>030087</x:v>
      </x:c>
      <x:c r="B85" s="21" t="str">
        <x:v>Ragogna</x:v>
      </x:c>
      <x:c r="C85" s="22" t="n">
        <x:v>2077</x:v>
      </x:c>
      <x:c r="D85" s="23" t="n">
        <x:v>2906</x:v>
      </x:c>
      <x:c r="E85" s="24" t="n">
        <x:v>0</x:v>
      </x:c>
      <x:c r="F85" s="21" t="str">
        <x:v>OBSERVED</x:v>
      </x:c>
      <x:c r="G85" s="22" t="n">
        <x:v>87</x:v>
      </x:c>
      <x:c r="H85" s="21" t="str">
        <x:v>ACI_AUTORITRATTO_2024</x:v>
      </x:c>
      <x:c r="I85" s="21" t="str">
        <x:v>2024</x:v>
      </x:c>
      <x:c r="J85" s="21" t="str">
        <x:v>RAFVG_REGIONAL_TABLE_2023</x:v>
      </x:c>
      <x:c r="K85" s="21" t="str">
        <x:v>REGIONAL_TABLE</x:v>
      </x:c>
      <x:c r="L85" s="21" t="str">
        <x:v>2023_Q4</x:v>
      </x:c>
    </x:row>
    <x:row r="86">
      <x:c r="A86" s="20" t="str">
        <x:v>030088</x:v>
      </x:c>
      <x:c r="B86" s="21" t="str">
        <x:v>Ravascletto</x:v>
      </x:c>
      <x:c r="C86" s="22" t="n">
        <x:v>337</x:v>
      </x:c>
      <x:c r="D86" s="23" t="n">
        <x:v>35496</x:v>
      </x:c>
      <x:c r="E86" s="24" t="n">
        <x:v>0</x:v>
      </x:c>
      <x:c r="F86" s="21" t="str">
        <x:v>OBSERVED</x:v>
      </x:c>
      <x:c r="G86" s="22" t="n">
        <x:v>834</x:v>
      </x:c>
      <x:c r="H86" s="21" t="str">
        <x:v>ACI_AUTORITRATTO_2024</x:v>
      </x:c>
      <x:c r="I86" s="21" t="str">
        <x:v>2024</x:v>
      </x:c>
      <x:c r="J86" s="21" t="str">
        <x:v>RAFVG_REGIONAL_TABLE_2023</x:v>
      </x:c>
      <x:c r="K86" s="21" t="str">
        <x:v>REGIONAL_TABLE</x:v>
      </x:c>
      <x:c r="L86" s="21" t="str">
        <x:v>2023_Q4</x:v>
      </x:c>
    </x:row>
    <x:row r="87">
      <x:c r="A87" s="20" t="str">
        <x:v>030089</x:v>
      </x:c>
      <x:c r="B87" s="21" t="str">
        <x:v>Raveo</x:v>
      </x:c>
      <x:c r="C87" s="22" t="n">
        <x:v>300</x:v>
      </x:c>
      <x:c r="D87" s="23" t="n">
        <x:v>391</x:v>
      </x:c>
      <x:c r="E87" s="24" t="n">
        <x:v>0</x:v>
      </x:c>
      <x:c r="F87" s="21" t="str">
        <x:v>OBSERVED</x:v>
      </x:c>
      <x:c r="G87" s="22" t="n">
        <x:v>71</x:v>
      </x:c>
      <x:c r="H87" s="21" t="str">
        <x:v>ACI_AUTORITRATTO_2024</x:v>
      </x:c>
      <x:c r="I87" s="21" t="str">
        <x:v>2024</x:v>
      </x:c>
      <x:c r="J87" s="21" t="str">
        <x:v>RAFVG_REGIONAL_TABLE_2023</x:v>
      </x:c>
      <x:c r="K87" s="21" t="str">
        <x:v>REGIONAL_TABLE</x:v>
      </x:c>
      <x:c r="L87" s="21" t="str">
        <x:v>2023_Q4</x:v>
      </x:c>
    </x:row>
    <x:row r="88">
      <x:c r="A88" s="20" t="str">
        <x:v>030090</x:v>
      </x:c>
      <x:c r="B88" s="21" t="str">
        <x:v>Reana del Rojale</x:v>
      </x:c>
      <x:c r="C88" s="22" t="n">
        <x:v>4196</x:v>
      </x:c>
      <x:c r="D88" s="23" t="n">
        <x:v>198</x:v>
      </x:c>
      <x:c r="E88" s="24" t="n">
        <x:v>59211.89</x:v>
      </x:c>
      <x:c r="F88" s="21" t="str">
        <x:v>OBSERVED</x:v>
      </x:c>
      <x:c r="G88" s="22" t="n">
        <x:v>90</x:v>
      </x:c>
      <x:c r="H88" s="21" t="str">
        <x:v>ACI_AUTORITRATTO_2024</x:v>
      </x:c>
      <x:c r="I88" s="21" t="str">
        <x:v>2024</x:v>
      </x:c>
      <x:c r="J88" s="21" t="str">
        <x:v>RAFVG_REGIONAL_TABLE_2023</x:v>
      </x:c>
      <x:c r="K88" s="21" t="str">
        <x:v>NOT_ZERO</x:v>
      </x:c>
      <x:c r="L88" s="21" t="str">
        <x:v>2023_Q4</x:v>
      </x:c>
    </x:row>
    <x:row r="89">
      <x:c r="A89" s="20" t="str">
        <x:v>030091</x:v>
      </x:c>
      <x:c r="B89" s="21" t="str">
        <x:v>Remanzacco</x:v>
      </x:c>
      <x:c r="C89" s="22" t="n">
        <x:v>4563</x:v>
      </x:c>
      <x:c r="D89" s="23" t="n">
        <x:v>7387</x:v>
      </x:c>
      <x:c r="E89" s="24" t="n">
        <x:v>12838.58</x:v>
      </x:c>
      <x:c r="F89" s="21" t="str">
        <x:v>OBSERVED</x:v>
      </x:c>
      <x:c r="G89" s="22" t="n">
        <x:v>155</x:v>
      </x:c>
      <x:c r="H89" s="21" t="str">
        <x:v>ACI_AUTORITRATTO_2024</x:v>
      </x:c>
      <x:c r="I89" s="21" t="str">
        <x:v>2024</x:v>
      </x:c>
      <x:c r="J89" s="21" t="str">
        <x:v>RAFVG_REGIONAL_TABLE_2023</x:v>
      </x:c>
      <x:c r="K89" s="21" t="str">
        <x:v>NOT_ZERO</x:v>
      </x:c>
      <x:c r="L89" s="21" t="str">
        <x:v>2023_Q4</x:v>
      </x:c>
    </x:row>
    <x:row r="90">
      <x:c r="A90" s="20" t="str">
        <x:v>030092</x:v>
      </x:c>
      <x:c r="B90" s="21" t="str">
        <x:v>Resia</x:v>
      </x:c>
      <x:c r="C90" s="22" t="n">
        <x:v>645</x:v>
      </x:c>
      <x:c r="D90" s="23" t="n">
        <x:v>2463</x:v>
      </x:c>
      <x:c r="E90" s="24" t="n">
        <x:v>0</x:v>
      </x:c>
      <x:c r="F90" s="21" t="str">
        <x:v>OBSERVED</x:v>
      </x:c>
      <x:c r="G90" s="22" t="n">
        <x:v>152</x:v>
      </x:c>
      <x:c r="H90" s="21" t="str">
        <x:v>ACI_AUTORITRATTO_2024</x:v>
      </x:c>
      <x:c r="I90" s="21" t="str">
        <x:v>2024</x:v>
      </x:c>
      <x:c r="J90" s="21" t="str">
        <x:v>RAFVG_REGIONAL_TABLE_2023</x:v>
      </x:c>
      <x:c r="K90" s="21" t="str">
        <x:v>REGIONAL_TABLE</x:v>
      </x:c>
      <x:c r="L90" s="21" t="str">
        <x:v>2023_Q4</x:v>
      </x:c>
    </x:row>
    <x:row r="91">
      <x:c r="A91" s="20" t="str">
        <x:v>030093</x:v>
      </x:c>
      <x:c r="B91" s="21" t="str">
        <x:v>Resiutta</x:v>
      </x:c>
      <x:c r="C91" s="22" t="n">
        <x:v>179</x:v>
      </x:c>
      <x:c r="D91" s="23" t="n">
        <x:v>379.93220338983053</x:v>
      </x:c>
      <x:c r="E91" s="24" t="n">
        <x:v>0</x:v>
      </x:c>
      <x:c r="F91" s="21" t="str">
        <x:v>IMPUTED_BEDS_RESIDUAL</x:v>
      </x:c>
      <x:c r="G91" s="22" t="n">
        <x:v>24</x:v>
      </x:c>
      <x:c r="H91" s="21" t="str">
        <x:v>ACI_AUTORITRATTO_2024</x:v>
      </x:c>
      <x:c r="I91" s="21" t="str">
        <x:v>2024</x:v>
      </x:c>
      <x:c r="J91" s="21" t="str">
        <x:v>RAFVG_REGIONAL_TABLE_2023</x:v>
      </x:c>
      <x:c r="K91" s="21" t="str">
        <x:v>REGIONAL_TABLE</x:v>
      </x:c>
      <x:c r="L91" s="21" t="str">
        <x:v>2023_Q4</x:v>
      </x:c>
    </x:row>
    <x:row r="92">
      <x:c r="A92" s="20" t="str">
        <x:v>030094</x:v>
      </x:c>
      <x:c r="B92" s="21" t="str">
        <x:v>Rigolato</x:v>
      </x:c>
      <x:c r="C92" s="22" t="n">
        <x:v>246</x:v>
      </x:c>
      <x:c r="D92" s="23" t="n">
        <x:v>3436</x:v>
      </x:c>
      <x:c r="E92" s="24" t="n">
        <x:v>0</x:v>
      </x:c>
      <x:c r="F92" s="21" t="str">
        <x:v>OBSERVED</x:v>
      </x:c>
      <x:c r="G92" s="22" t="n">
        <x:v>122</x:v>
      </x:c>
      <x:c r="H92" s="21" t="str">
        <x:v>ACI_AUTORITRATTO_2024</x:v>
      </x:c>
      <x:c r="I92" s="21" t="str">
        <x:v>2024</x:v>
      </x:c>
      <x:c r="J92" s="21" t="str">
        <x:v>RAFVG_REGIONAL_TABLE_2023</x:v>
      </x:c>
      <x:c r="K92" s="21" t="str">
        <x:v>REGIONAL_TABLE</x:v>
      </x:c>
      <x:c r="L92" s="21" t="str">
        <x:v>2023_Q4</x:v>
      </x:c>
    </x:row>
    <x:row r="93">
      <x:c r="A93" s="20" t="str">
        <x:v>030095</x:v>
      </x:c>
      <x:c r="B93" s="21" t="str">
        <x:v>Rive d'Arcano</x:v>
      </x:c>
      <x:c r="C93" s="22" t="n">
        <x:v>1906</x:v>
      </x:c>
      <x:c r="D93" s="23" t="n">
        <x:v>448</x:v>
      </x:c>
      <x:c r="E93" s="24" t="n">
        <x:v>0</x:v>
      </x:c>
      <x:c r="F93" s="21" t="str">
        <x:v>OBSERVED</x:v>
      </x:c>
      <x:c r="G93" s="22" t="n">
        <x:v>22</x:v>
      </x:c>
      <x:c r="H93" s="21" t="str">
        <x:v>ACI_AUTORITRATTO_2024</x:v>
      </x:c>
      <x:c r="I93" s="21" t="str">
        <x:v>2024</x:v>
      </x:c>
      <x:c r="J93" s="21" t="str">
        <x:v>RAFVG_REGIONAL_TABLE_2023</x:v>
      </x:c>
      <x:c r="K93" s="21" t="str">
        <x:v>REGIONAL_TABLE</x:v>
      </x:c>
      <x:c r="L93" s="21" t="str">
        <x:v>2023_Q4</x:v>
      </x:c>
    </x:row>
    <x:row r="94">
      <x:c r="A94" s="20" t="str">
        <x:v>030097</x:v>
      </x:c>
      <x:c r="B94" s="21" t="str">
        <x:v>Ronchis</x:v>
      </x:c>
      <x:c r="C94" s="22" t="n">
        <x:v>1417</x:v>
      </x:c>
      <x:c r="D94" s="23" t="n">
        <x:v>346</x:v>
      </x:c>
      <x:c r="E94" s="24" t="n">
        <x:v>0</x:v>
      </x:c>
      <x:c r="F94" s="21" t="str">
        <x:v>OBSERVED</x:v>
      </x:c>
      <x:c r="G94" s="22" t="n">
        <x:v>48</x:v>
      </x:c>
      <x:c r="H94" s="21" t="str">
        <x:v>ACI_AUTORITRATTO_2024</x:v>
      </x:c>
      <x:c r="I94" s="21" t="str">
        <x:v>2024</x:v>
      </x:c>
      <x:c r="J94" s="21" t="str">
        <x:v>RAFVG_REGIONAL_TABLE_2023</x:v>
      </x:c>
      <x:c r="K94" s="21" t="str">
        <x:v>REGIONAL_TABLE</x:v>
      </x:c>
      <x:c r="L94" s="21" t="str">
        <x:v>2023_Q4</x:v>
      </x:c>
    </x:row>
    <x:row r="95">
      <x:c r="A95" s="20" t="str">
        <x:v>030098</x:v>
      </x:c>
      <x:c r="B95" s="21" t="str">
        <x:v>Ruda</x:v>
      </x:c>
      <x:c r="C95" s="22" t="n">
        <x:v>2013</x:v>
      </x:c>
      <x:c r="D95" s="23" t="n">
        <x:v>427.4237288135593</x:v>
      </x:c>
      <x:c r="E95" s="24" t="n">
        <x:v>0</x:v>
      </x:c>
      <x:c r="F95" s="21" t="str">
        <x:v>IMPUTED_BEDS_RESIDUAL</x:v>
      </x:c>
      <x:c r="G95" s="22" t="n">
        <x:v>27</x:v>
      </x:c>
      <x:c r="H95" s="21" t="str">
        <x:v>ACI_AUTORITRATTO_2024</x:v>
      </x:c>
      <x:c r="I95" s="21" t="str">
        <x:v>2024</x:v>
      </x:c>
      <x:c r="J95" s="21" t="str">
        <x:v>RAFVG_REGIONAL_TABLE_2023</x:v>
      </x:c>
      <x:c r="K95" s="21" t="str">
        <x:v>REGIONAL_TABLE</x:v>
      </x:c>
      <x:c r="L95" s="21" t="str">
        <x:v>2023_Q4</x:v>
      </x:c>
    </x:row>
    <x:row r="96">
      <x:c r="A96" s="20" t="str">
        <x:v>030099</x:v>
      </x:c>
      <x:c r="B96" s="21" t="str">
        <x:v>San Daniele del Friuli</x:v>
      </x:c>
      <x:c r="C96" s="22" t="n">
        <x:v>5930</x:v>
      </x:c>
      <x:c r="D96" s="23" t="n">
        <x:v>40287</x:v>
      </x:c>
      <x:c r="E96" s="24" t="n">
        <x:v>6092</x:v>
      </x:c>
      <x:c r="F96" s="21" t="str">
        <x:v>OBSERVED</x:v>
      </x:c>
      <x:c r="G96" s="22" t="n">
        <x:v>470</x:v>
      </x:c>
      <x:c r="H96" s="21" t="str">
        <x:v>ACI_AUTORITRATTO_2024</x:v>
      </x:c>
      <x:c r="I96" s="21" t="str">
        <x:v>2024</x:v>
      </x:c>
      <x:c r="J96" s="21" t="str">
        <x:v>RAFVG_REGIONAL_TABLE_2023</x:v>
      </x:c>
      <x:c r="K96" s="21" t="str">
        <x:v>NOT_ZERO</x:v>
      </x:c>
      <x:c r="L96" s="21" t="str">
        <x:v>2023_Q4</x:v>
      </x:c>
    </x:row>
    <x:row r="97">
      <x:c r="A97" s="20" t="str">
        <x:v>030100</x:v>
      </x:c>
      <x:c r="B97" s="21" t="str">
        <x:v>San Giorgio di Nogaro</x:v>
      </x:c>
      <x:c r="C97" s="22" t="n">
        <x:v>4994</x:v>
      </x:c>
      <x:c r="D97" s="23" t="n">
        <x:v>45792</x:v>
      </x:c>
      <x:c r="E97" s="24" t="n">
        <x:v>4970</x:v>
      </x:c>
      <x:c r="F97" s="21" t="str">
        <x:v>OBSERVED</x:v>
      </x:c>
      <x:c r="G97" s="22" t="n">
        <x:v>292</x:v>
      </x:c>
      <x:c r="H97" s="21" t="str">
        <x:v>ACI_AUTORITRATTO_2024</x:v>
      </x:c>
      <x:c r="I97" s="21" t="str">
        <x:v>2024</x:v>
      </x:c>
      <x:c r="J97" s="21" t="str">
        <x:v>RAFVG_REGIONAL_TABLE_2023</x:v>
      </x:c>
      <x:c r="K97" s="21" t="str">
        <x:v>NOT_ZERO</x:v>
      </x:c>
      <x:c r="L97" s="21" t="str">
        <x:v>2023_Q4</x:v>
      </x:c>
    </x:row>
    <x:row r="98">
      <x:c r="A98" s="20" t="str">
        <x:v>030101</x:v>
      </x:c>
      <x:c r="B98" s="21" t="str">
        <x:v>San Giovanni al Natisone</x:v>
      </x:c>
      <x:c r="C98" s="22" t="n">
        <x:v>4550</x:v>
      </x:c>
      <x:c r="D98" s="23" t="n">
        <x:v>2892</x:v>
      </x:c>
      <x:c r="E98" s="24" t="n">
        <x:v>7092</x:v>
      </x:c>
      <x:c r="F98" s="21" t="str">
        <x:v>OBSERVED</x:v>
      </x:c>
      <x:c r="G98" s="22" t="n">
        <x:v>73</x:v>
      </x:c>
      <x:c r="H98" s="21" t="str">
        <x:v>ACI_AUTORITRATTO_2024</x:v>
      </x:c>
      <x:c r="I98" s="21" t="str">
        <x:v>2024</x:v>
      </x:c>
      <x:c r="J98" s="21" t="str">
        <x:v>RAFVG_REGIONAL_TABLE_2023</x:v>
      </x:c>
      <x:c r="K98" s="21" t="str">
        <x:v>NOT_ZERO</x:v>
      </x:c>
      <x:c r="L98" s="21" t="str">
        <x:v>2023_Q4</x:v>
      </x:c>
    </x:row>
    <x:row r="99">
      <x:c r="A99" s="20" t="str">
        <x:v>030102</x:v>
      </x:c>
      <x:c r="B99" s="21" t="str">
        <x:v>San Leonardo</x:v>
      </x:c>
      <x:c r="C99" s="22" t="n">
        <x:v>865</x:v>
      </x:c>
      <x:c r="D99" s="23" t="n">
        <x:v>1652</x:v>
      </x:c>
      <x:c r="E99" s="24" t="n">
        <x:v>0</x:v>
      </x:c>
      <x:c r="F99" s="21" t="str">
        <x:v>OBSERVED</x:v>
      </x:c>
      <x:c r="G99" s="22" t="n">
        <x:v>144</x:v>
      </x:c>
      <x:c r="H99" s="21" t="str">
        <x:v>ACI_AUTORITRATTO_2024</x:v>
      </x:c>
      <x:c r="I99" s="21" t="str">
        <x:v>2024</x:v>
      </x:c>
      <x:c r="J99" s="21" t="str">
        <x:v>RAFVG_REGIONAL_TABLE_2023</x:v>
      </x:c>
      <x:c r="K99" s="21" t="str">
        <x:v>REGIONAL_TABLE</x:v>
      </x:c>
      <x:c r="L99" s="21" t="str">
        <x:v>2023_Q4</x:v>
      </x:c>
    </x:row>
    <x:row r="100">
      <x:c r="A100" s="20" t="str">
        <x:v>030103</x:v>
      </x:c>
      <x:c r="B100" s="21" t="str">
        <x:v>San Pietro al Natisone</x:v>
      </x:c>
      <x:c r="C100" s="22" t="n">
        <x:v>1615</x:v>
      </x:c>
      <x:c r="D100" s="23" t="n">
        <x:v>1449</x:v>
      </x:c>
      <x:c r="E100" s="24" t="n">
        <x:v>0</x:v>
      </x:c>
      <x:c r="F100" s="21" t="str">
        <x:v>OBSERVED</x:v>
      </x:c>
      <x:c r="G100" s="22" t="n">
        <x:v>185</x:v>
      </x:c>
      <x:c r="H100" s="21" t="str">
        <x:v>ACI_AUTORITRATTO_2024</x:v>
      </x:c>
      <x:c r="I100" s="21" t="str">
        <x:v>2024</x:v>
      </x:c>
      <x:c r="J100" s="21" t="str">
        <x:v>RAFVG_REGIONAL_TABLE_2023</x:v>
      </x:c>
      <x:c r="K100" s="21" t="str">
        <x:v>REGIONAL_TABLE</x:v>
      </x:c>
      <x:c r="L100" s="21" t="str">
        <x:v>2023_Q4</x:v>
      </x:c>
    </x:row>
    <x:row r="101">
      <x:c r="A101" s="20" t="str">
        <x:v>030104</x:v>
      </x:c>
      <x:c r="B101" s="21" t="str">
        <x:v>Santa Maria la Longa</x:v>
      </x:c>
      <x:c r="C101" s="22" t="n">
        <x:v>1646</x:v>
      </x:c>
      <x:c r="D101" s="23" t="n">
        <x:v>3584</x:v>
      </x:c>
      <x:c r="E101" s="24" t="n">
        <x:v>790</x:v>
      </x:c>
      <x:c r="F101" s="21" t="str">
        <x:v>OBSERVED</x:v>
      </x:c>
      <x:c r="G101" s="22" t="n">
        <x:v>95</x:v>
      </x:c>
      <x:c r="H101" s="21" t="str">
        <x:v>ACI_AUTORITRATTO_2024</x:v>
      </x:c>
      <x:c r="I101" s="21" t="str">
        <x:v>2024</x:v>
      </x:c>
      <x:c r="J101" s="21" t="str">
        <x:v>RAFVG_REGIONAL_TABLE_2023</x:v>
      </x:c>
      <x:c r="K101" s="21" t="str">
        <x:v>NOT_ZERO</x:v>
      </x:c>
      <x:c r="L101" s="21" t="str">
        <x:v>2023_Q4</x:v>
      </x:c>
    </x:row>
    <x:row r="102">
      <x:c r="A102" s="20" t="str">
        <x:v>030105</x:v>
      </x:c>
      <x:c r="B102" s="21" t="str">
        <x:v>San Vito al Torre</x:v>
      </x:c>
      <x:c r="C102" s="22" t="n">
        <x:v>886</x:v>
      </x:c>
      <x:c r="D102" s="23" t="n">
        <x:v>6493</x:v>
      </x:c>
      <x:c r="E102" s="24" t="n">
        <x:v>0</x:v>
      </x:c>
      <x:c r="F102" s="21" t="str">
        <x:v>OBSERVED</x:v>
      </x:c>
      <x:c r="G102" s="22" t="n">
        <x:v>86</x:v>
      </x:c>
      <x:c r="H102" s="21" t="str">
        <x:v>ACI_AUTORITRATTO_2024</x:v>
      </x:c>
      <x:c r="I102" s="21" t="str">
        <x:v>2024</x:v>
      </x:c>
      <x:c r="J102" s="21" t="str">
        <x:v>RAFVG_REGIONAL_TABLE_2023</x:v>
      </x:c>
      <x:c r="K102" s="21" t="str">
        <x:v>REGIONAL_TABLE</x:v>
      </x:c>
      <x:c r="L102" s="21" t="str">
        <x:v>2023_Q4</x:v>
      </x:c>
    </x:row>
    <x:row r="103">
      <x:c r="A103" s="20" t="str">
        <x:v>030106</x:v>
      </x:c>
      <x:c r="B103" s="21" t="str">
        <x:v>San Vito di Fagagna</x:v>
      </x:c>
      <x:c r="C103" s="22" t="n">
        <x:v>1209</x:v>
      </x:c>
      <x:c r="D103" s="23" t="n">
        <x:v>110.8135593220339</x:v>
      </x:c>
      <x:c r="E103" s="24" t="n">
        <x:v>0</x:v>
      </x:c>
      <x:c r="F103" s="21" t="str">
        <x:v>IMPUTED_BEDS_RESIDUAL</x:v>
      </x:c>
      <x:c r="G103" s="22" t="n">
        <x:v>7</x:v>
      </x:c>
      <x:c r="H103" s="21" t="str">
        <x:v>ACI_AUTORITRATTO_2024</x:v>
      </x:c>
      <x:c r="I103" s="21" t="str">
        <x:v>2024</x:v>
      </x:c>
      <x:c r="J103" s="21" t="str">
        <x:v>RAFVG_REGIONAL_TABLE_2023</x:v>
      </x:c>
      <x:c r="K103" s="21" t="str">
        <x:v>REGIONAL_TABLE</x:v>
      </x:c>
      <x:c r="L103" s="21" t="str">
        <x:v>2023_Q4</x:v>
      </x:c>
    </x:row>
    <x:row r="104">
      <x:c r="A104" s="20" t="str">
        <x:v>030107</x:v>
      </x:c>
      <x:c r="B104" s="21" t="str">
        <x:v>Sauris</x:v>
      </x:c>
      <x:c r="C104" s="22" t="n">
        <x:v>237</x:v>
      </x:c>
      <x:c r="D104" s="23" t="n">
        <x:v>32600</x:v>
      </x:c>
      <x:c r="E104" s="24" t="n">
        <x:v>0</x:v>
      </x:c>
      <x:c r="F104" s="21" t="str">
        <x:v>OBSERVED</x:v>
      </x:c>
      <x:c r="G104" s="22" t="n">
        <x:v>938</x:v>
      </x:c>
      <x:c r="H104" s="21" t="str">
        <x:v>ACI_AUTORITRATTO_2024</x:v>
      </x:c>
      <x:c r="I104" s="21" t="str">
        <x:v>2024</x:v>
      </x:c>
      <x:c r="J104" s="21" t="str">
        <x:v>RAFVG_REGIONAL_TABLE_2023</x:v>
      </x:c>
      <x:c r="K104" s="21" t="str">
        <x:v>REGIONAL_TABLE</x:v>
      </x:c>
      <x:c r="L104" s="21" t="str">
        <x:v>2023_Q4</x:v>
      </x:c>
    </x:row>
    <x:row r="105">
      <x:c r="A105" s="20" t="str">
        <x:v>030108</x:v>
      </x:c>
      <x:c r="B105" s="21" t="str">
        <x:v>Savogna</x:v>
      </x:c>
      <x:c r="C105" s="22" t="n">
        <x:v>286</x:v>
      </x:c>
      <x:c r="D105" s="23" t="n">
        <x:v>293</x:v>
      </x:c>
      <x:c r="E105" s="24" t="n">
        <x:v>0</x:v>
      </x:c>
      <x:c r="F105" s="21" t="str">
        <x:v>OBSERVED</x:v>
      </x:c>
      <x:c r="G105" s="22" t="n">
        <x:v>91</x:v>
      </x:c>
      <x:c r="H105" s="21" t="str">
        <x:v>ACI_AUTORITRATTO_2024</x:v>
      </x:c>
      <x:c r="I105" s="21" t="str">
        <x:v>2024</x:v>
      </x:c>
      <x:c r="J105" s="21" t="str">
        <x:v>RAFVG_REGIONAL_TABLE_2023</x:v>
      </x:c>
      <x:c r="K105" s="21" t="str">
        <x:v>REGIONAL_TABLE</x:v>
      </x:c>
      <x:c r="L105" s="21" t="str">
        <x:v>2023_Q4</x:v>
      </x:c>
    </x:row>
    <x:row r="106">
      <x:c r="A106" s="20" t="str">
        <x:v>030109</x:v>
      </x:c>
      <x:c r="B106" s="21" t="str">
        <x:v>Sedegliano</x:v>
      </x:c>
      <x:c r="C106" s="22" t="n">
        <x:v>2680</x:v>
      </x:c>
      <x:c r="D106" s="23" t="n">
        <x:v>7399</x:v>
      </x:c>
      <x:c r="E106" s="24" t="n">
        <x:v>1195</x:v>
      </x:c>
      <x:c r="F106" s="21" t="str">
        <x:v>OBSERVED</x:v>
      </x:c>
      <x:c r="G106" s="22" t="n">
        <x:v>119</x:v>
      </x:c>
      <x:c r="H106" s="21" t="str">
        <x:v>ACI_AUTORITRATTO_2024</x:v>
      </x:c>
      <x:c r="I106" s="21" t="str">
        <x:v>2024</x:v>
      </x:c>
      <x:c r="J106" s="21" t="str">
        <x:v>RAFVG_REGIONAL_TABLE_2023</x:v>
      </x:c>
      <x:c r="K106" s="21" t="str">
        <x:v>NOT_ZERO</x:v>
      </x:c>
      <x:c r="L106" s="21" t="str">
        <x:v>2023_Q4</x:v>
      </x:c>
    </x:row>
    <x:row r="107">
      <x:c r="A107" s="20" t="str">
        <x:v>030110</x:v>
      </x:c>
      <x:c r="B107" s="21" t="str">
        <x:v>Socchieve</x:v>
      </x:c>
      <x:c r="C107" s="22" t="n">
        <x:v>585</x:v>
      </x:c>
      <x:c r="D107" s="23" t="n">
        <x:v>7954</x:v>
      </x:c>
      <x:c r="E107" s="24" t="n">
        <x:v>0</x:v>
      </x:c>
      <x:c r="F107" s="21" t="str">
        <x:v>OBSERVED</x:v>
      </x:c>
      <x:c r="G107" s="22" t="n">
        <x:v>129</x:v>
      </x:c>
      <x:c r="H107" s="21" t="str">
        <x:v>ACI_AUTORITRATTO_2024</x:v>
      </x:c>
      <x:c r="I107" s="21" t="str">
        <x:v>2024</x:v>
      </x:c>
      <x:c r="J107" s="21" t="str">
        <x:v>RAFVG_REGIONAL_TABLE_2023</x:v>
      </x:c>
      <x:c r="K107" s="21" t="str">
        <x:v>REGIONAL_TABLE</x:v>
      </x:c>
      <x:c r="L107" s="21" t="str">
        <x:v>2023_Q4</x:v>
      </x:c>
    </x:row>
    <x:row r="108">
      <x:c r="A108" s="20" t="str">
        <x:v>030111</x:v>
      </x:c>
      <x:c r="B108" s="21" t="str">
        <x:v>Stregna</x:v>
      </x:c>
      <x:c r="C108" s="22" t="n">
        <x:v>242</x:v>
      </x:c>
      <x:c r="D108" s="23" t="n">
        <x:v>775.6949152542373</x:v>
      </x:c>
      <x:c r="E108" s="24" t="n">
        <x:v>0</x:v>
      </x:c>
      <x:c r="F108" s="21" t="str">
        <x:v>IMPUTED_BEDS_RESIDUAL</x:v>
      </x:c>
      <x:c r="G108" s="22" t="n">
        <x:v>49</x:v>
      </x:c>
      <x:c r="H108" s="21" t="str">
        <x:v>ACI_AUTORITRATTO_2024</x:v>
      </x:c>
      <x:c r="I108" s="21" t="str">
        <x:v>2024</x:v>
      </x:c>
      <x:c r="J108" s="21" t="str">
        <x:v>RAFVG_REGIONAL_TABLE_2023</x:v>
      </x:c>
      <x:c r="K108" s="21" t="str">
        <x:v>REGIONAL_TABLE</x:v>
      </x:c>
      <x:c r="L108" s="21" t="str">
        <x:v>2023_Q4</x:v>
      </x:c>
    </x:row>
    <x:row r="109">
      <x:c r="A109" s="20" t="str">
        <x:v>030112</x:v>
      </x:c>
      <x:c r="B109" s="21" t="str">
        <x:v>Sutrio</x:v>
      </x:c>
      <x:c r="C109" s="22" t="n">
        <x:v>757</x:v>
      </x:c>
      <x:c r="D109" s="23" t="n">
        <x:v>47286</x:v>
      </x:c>
      <x:c r="E109" s="24" t="n">
        <x:v>615.5</x:v>
      </x:c>
      <x:c r="F109" s="21" t="str">
        <x:v>OBSERVED</x:v>
      </x:c>
      <x:c r="G109" s="22" t="n">
        <x:v>434</x:v>
      </x:c>
      <x:c r="H109" s="21" t="str">
        <x:v>ACI_AUTORITRATTO_2024</x:v>
      </x:c>
      <x:c r="I109" s="21" t="str">
        <x:v>2024</x:v>
      </x:c>
      <x:c r="J109" s="21" t="str">
        <x:v>RAFVG_REGIONAL_TABLE_2023</x:v>
      </x:c>
      <x:c r="K109" s="21" t="str">
        <x:v>NOT_ZERO</x:v>
      </x:c>
      <x:c r="L109" s="21" t="str">
        <x:v>2023_Q4</x:v>
      </x:c>
    </x:row>
    <x:row r="110">
      <x:c r="A110" s="20" t="str">
        <x:v>030113</x:v>
      </x:c>
      <x:c r="B110" s="21" t="str">
        <x:v>Taipana</x:v>
      </x:c>
      <x:c r="C110" s="22" t="n">
        <x:v>409</x:v>
      </x:c>
      <x:c r="D110" s="23" t="n">
        <x:v>1393.084745762712</x:v>
      </x:c>
      <x:c r="E110" s="24" t="n">
        <x:v>0</x:v>
      </x:c>
      <x:c r="F110" s="21" t="str">
        <x:v>IMPUTED_BEDS_RESIDUAL</x:v>
      </x:c>
      <x:c r="G110" s="22" t="n">
        <x:v>88</x:v>
      </x:c>
      <x:c r="H110" s="21" t="str">
        <x:v>ACI_AUTORITRATTO_2024</x:v>
      </x:c>
      <x:c r="I110" s="21" t="str">
        <x:v>2024</x:v>
      </x:c>
      <x:c r="J110" s="21" t="str">
        <x:v>RAFVG_REGIONAL_TABLE_2023</x:v>
      </x:c>
      <x:c r="K110" s="21" t="str">
        <x:v>REGIONAL_TABLE</x:v>
      </x:c>
      <x:c r="L110" s="21" t="str">
        <x:v>2023_Q4</x:v>
      </x:c>
    </x:row>
    <x:row r="111">
      <x:c r="A111" s="20" t="str">
        <x:v>030114</x:v>
      </x:c>
      <x:c r="B111" s="21" t="str">
        <x:v>Talmassons</x:v>
      </x:c>
      <x:c r="C111" s="22" t="n">
        <x:v>2953</x:v>
      </x:c>
      <x:c r="D111" s="23" t="n">
        <x:v>1154</x:v>
      </x:c>
      <x:c r="E111" s="24" t="n">
        <x:v>3797.08</x:v>
      </x:c>
      <x:c r="F111" s="21" t="str">
        <x:v>OBSERVED</x:v>
      </x:c>
      <x:c r="G111" s="22" t="n">
        <x:v>43</x:v>
      </x:c>
      <x:c r="H111" s="21" t="str">
        <x:v>ACI_AUTORITRATTO_2024</x:v>
      </x:c>
      <x:c r="I111" s="21" t="str">
        <x:v>2024</x:v>
      </x:c>
      <x:c r="J111" s="21" t="str">
        <x:v>RAFVG_REGIONAL_TABLE_2023</x:v>
      </x:c>
      <x:c r="K111" s="21" t="str">
        <x:v>NOT_ZERO</x:v>
      </x:c>
      <x:c r="L111" s="21" t="str">
        <x:v>2023_Q4</x:v>
      </x:c>
    </x:row>
    <x:row r="112">
      <x:c r="A112" s="20" t="str">
        <x:v>030116</x:v>
      </x:c>
      <x:c r="B112" s="21" t="str">
        <x:v>Tarcento</x:v>
      </x:c>
      <x:c r="C112" s="22" t="n">
        <x:v>6523</x:v>
      </x:c>
      <x:c r="D112" s="23" t="n">
        <x:v>27406</x:v>
      </x:c>
      <x:c r="E112" s="24" t="n">
        <x:v>5489</x:v>
      </x:c>
      <x:c r="F112" s="21" t="str">
        <x:v>OBSERVED</x:v>
      </x:c>
      <x:c r="G112" s="22" t="n">
        <x:v>310</x:v>
      </x:c>
      <x:c r="H112" s="21" t="str">
        <x:v>ACI_AUTORITRATTO_2024</x:v>
      </x:c>
      <x:c r="I112" s="21" t="str">
        <x:v>2024</x:v>
      </x:c>
      <x:c r="J112" s="21" t="str">
        <x:v>RAFVG_REGIONAL_TABLE_2023</x:v>
      </x:c>
      <x:c r="K112" s="21" t="str">
        <x:v>NOT_ZERO</x:v>
      </x:c>
      <x:c r="L112" s="21" t="str">
        <x:v>2023_Q4</x:v>
      </x:c>
    </x:row>
    <x:row r="113">
      <x:c r="A113" s="20" t="str">
        <x:v>030117</x:v>
      </x:c>
      <x:c r="B113" s="21" t="str">
        <x:v>Tarvisio</x:v>
      </x:c>
      <x:c r="C113" s="22" t="n">
        <x:v>3068</x:v>
      </x:c>
      <x:c r="D113" s="23" t="n">
        <x:v>223916</x:v>
      </x:c>
      <x:c r="E113" s="24" t="n">
        <x:v>2988</x:v>
      </x:c>
      <x:c r="F113" s="21" t="str">
        <x:v>OBSERVED</x:v>
      </x:c>
      <x:c r="G113" s="22" t="n">
        <x:v>4103</x:v>
      </x:c>
      <x:c r="H113" s="21" t="str">
        <x:v>ACI_AUTORITRATTO_2024</x:v>
      </x:c>
      <x:c r="I113" s="21" t="str">
        <x:v>2024</x:v>
      </x:c>
      <x:c r="J113" s="21" t="str">
        <x:v>RAFVG_REGIONAL_TABLE_2023</x:v>
      </x:c>
      <x:c r="K113" s="21" t="str">
        <x:v>NOT_ZERO</x:v>
      </x:c>
      <x:c r="L113" s="21" t="str">
        <x:v>2023_Q4</x:v>
      </x:c>
    </x:row>
    <x:row r="114">
      <x:c r="A114" s="20" t="str">
        <x:v>030118</x:v>
      </x:c>
      <x:c r="B114" s="21" t="str">
        <x:v>Tavagnacco</x:v>
      </x:c>
      <x:c r="C114" s="22" t="n">
        <x:v>12275</x:v>
      </x:c>
      <x:c r="D114" s="23" t="n">
        <x:v>53739</x:v>
      </x:c>
      <x:c r="E114" s="24" t="n">
        <x:v>64968.61</x:v>
      </x:c>
      <x:c r="F114" s="21" t="str">
        <x:v>OBSERVED</x:v>
      </x:c>
      <x:c r="G114" s="22" t="n">
        <x:v>402</x:v>
      </x:c>
      <x:c r="H114" s="21" t="str">
        <x:v>ACI_AUTORITRATTO_2024</x:v>
      </x:c>
      <x:c r="I114" s="21" t="str">
        <x:v>2024</x:v>
      </x:c>
      <x:c r="J114" s="21" t="str">
        <x:v>RAFVG_REGIONAL_TABLE_2023</x:v>
      </x:c>
      <x:c r="K114" s="21" t="str">
        <x:v>NOT_ZERO</x:v>
      </x:c>
      <x:c r="L114" s="21" t="str">
        <x:v>2023_Q4</x:v>
      </x:c>
    </x:row>
    <x:row r="115">
      <x:c r="A115" s="20" t="str">
        <x:v>030120</x:v>
      </x:c>
      <x:c r="B115" s="21" t="str">
        <x:v>Terzo d'Aquileia</x:v>
      </x:c>
      <x:c r="C115" s="22" t="n">
        <x:v>1902</x:v>
      </x:c>
      <x:c r="D115" s="23" t="n">
        <x:v>2179</x:v>
      </x:c>
      <x:c r="E115" s="24" t="n">
        <x:v>0</x:v>
      </x:c>
      <x:c r="F115" s="21" t="str">
        <x:v>OBSERVED</x:v>
      </x:c>
      <x:c r="G115" s="22" t="n">
        <x:v>36</x:v>
      </x:c>
      <x:c r="H115" s="21" t="str">
        <x:v>ACI_AUTORITRATTO_2024</x:v>
      </x:c>
      <x:c r="I115" s="21" t="str">
        <x:v>2024</x:v>
      </x:c>
      <x:c r="J115" s="21" t="str">
        <x:v>RAFVG_REGIONAL_TABLE_2023</x:v>
      </x:c>
      <x:c r="K115" s="21" t="str">
        <x:v>REGIONAL_TABLE</x:v>
      </x:c>
      <x:c r="L115" s="21" t="str">
        <x:v>2023_Q4</x:v>
      </x:c>
    </x:row>
    <x:row r="116">
      <x:c r="A116" s="20" t="str">
        <x:v>030121</x:v>
      </x:c>
      <x:c r="B116" s="21" t="str">
        <x:v>Tolmezzo</x:v>
      </x:c>
      <x:c r="C116" s="22" t="n">
        <x:v>7017</x:v>
      </x:c>
      <x:c r="D116" s="23" t="n">
        <x:v>13840</x:v>
      </x:c>
      <x:c r="E116" s="24" t="n">
        <x:v>9475</x:v>
      </x:c>
      <x:c r="F116" s="21" t="str">
        <x:v>OBSERVED</x:v>
      </x:c>
      <x:c r="G116" s="22" t="n">
        <x:v>372</x:v>
      </x:c>
      <x:c r="H116" s="21" t="str">
        <x:v>ACI_AUTORITRATTO_2024</x:v>
      </x:c>
      <x:c r="I116" s="21" t="str">
        <x:v>2024</x:v>
      </x:c>
      <x:c r="J116" s="21" t="str">
        <x:v>RAFVG_REGIONAL_TABLE_2023</x:v>
      </x:c>
      <x:c r="K116" s="21" t="str">
        <x:v>NOT_ZERO</x:v>
      </x:c>
      <x:c r="L116" s="21" t="str">
        <x:v>2023_Q4</x:v>
      </x:c>
    </x:row>
    <x:row r="117">
      <x:c r="A117" s="20" t="str">
        <x:v>030122</x:v>
      </x:c>
      <x:c r="B117" s="21" t="str">
        <x:v>Torreano</x:v>
      </x:c>
      <x:c r="C117" s="22" t="n">
        <x:v>1662</x:v>
      </x:c>
      <x:c r="D117" s="23" t="n">
        <x:v>1234</x:v>
      </x:c>
      <x:c r="E117" s="24" t="n">
        <x:v>0</x:v>
      </x:c>
      <x:c r="F117" s="21" t="str">
        <x:v>OBSERVED</x:v>
      </x:c>
      <x:c r="G117" s="22" t="n">
        <x:v>116</x:v>
      </x:c>
      <x:c r="H117" s="21" t="str">
        <x:v>ACI_AUTORITRATTO_2024</x:v>
      </x:c>
      <x:c r="I117" s="21" t="str">
        <x:v>2024</x:v>
      </x:c>
      <x:c r="J117" s="21" t="str">
        <x:v>RAFVG_REGIONAL_TABLE_2023</x:v>
      </x:c>
      <x:c r="K117" s="21" t="str">
        <x:v>REGIONAL_TABLE</x:v>
      </x:c>
      <x:c r="L117" s="21" t="str">
        <x:v>2023_Q4</x:v>
      </x:c>
    </x:row>
    <x:row r="118">
      <x:c r="A118" s="20" t="str">
        <x:v>030123</x:v>
      </x:c>
      <x:c r="B118" s="21" t="str">
        <x:v>Torviscosa</x:v>
      </x:c>
      <x:c r="C118" s="22" t="n">
        <x:v>1808</x:v>
      </x:c>
      <x:c r="D118" s="23" t="n">
        <x:v>126.64406779661017</x:v>
      </x:c>
      <x:c r="E118" s="24" t="n">
        <x:v>0</x:v>
      </x:c>
      <x:c r="F118" s="21" t="str">
        <x:v>IMPUTED_BEDS_RESIDUAL</x:v>
      </x:c>
      <x:c r="G118" s="22" t="n">
        <x:v>8</x:v>
      </x:c>
      <x:c r="H118" s="21" t="str">
        <x:v>ACI_AUTORITRATTO_2024</x:v>
      </x:c>
      <x:c r="I118" s="21" t="str">
        <x:v>2024</x:v>
      </x:c>
      <x:c r="J118" s="21" t="str">
        <x:v>RAFVG_REGIONAL_TABLE_2023</x:v>
      </x:c>
      <x:c r="K118" s="21" t="str">
        <x:v>REGIONAL_TABLE</x:v>
      </x:c>
      <x:c r="L118" s="21" t="str">
        <x:v>2023_Q4</x:v>
      </x:c>
    </x:row>
    <x:row r="119">
      <x:c r="A119" s="20" t="str">
        <x:v>030124</x:v>
      </x:c>
      <x:c r="B119" s="21" t="str">
        <x:v>Trasaghis</x:v>
      </x:c>
      <x:c r="C119" s="22" t="n">
        <x:v>1552</x:v>
      </x:c>
      <x:c r="D119" s="23" t="n">
        <x:v>22523</x:v>
      </x:c>
      <x:c r="E119" s="24" t="n">
        <x:v>454</x:v>
      </x:c>
      <x:c r="F119" s="21" t="str">
        <x:v>OBSERVED</x:v>
      </x:c>
      <x:c r="G119" s="22" t="n">
        <x:v>261</x:v>
      </x:c>
      <x:c r="H119" s="21" t="str">
        <x:v>ACI_AUTORITRATTO_2024</x:v>
      </x:c>
      <x:c r="I119" s="21" t="str">
        <x:v>2024</x:v>
      </x:c>
      <x:c r="J119" s="21" t="str">
        <x:v>RAFVG_REGIONAL_TABLE_2023</x:v>
      </x:c>
      <x:c r="K119" s="21" t="str">
        <x:v>NOT_ZERO</x:v>
      </x:c>
      <x:c r="L119" s="21" t="str">
        <x:v>2023_Q4</x:v>
      </x:c>
    </x:row>
    <x:row r="120">
      <x:c r="A120" s="20" t="str">
        <x:v>030126</x:v>
      </x:c>
      <x:c r="B120" s="21" t="str">
        <x:v>Treppo Grande</x:v>
      </x:c>
      <x:c r="C120" s="22" t="n">
        <x:v>1276</x:v>
      </x:c>
      <x:c r="D120" s="23" t="n">
        <x:v>2221</x:v>
      </x:c>
      <x:c r="E120" s="24" t="n">
        <x:v>469</x:v>
      </x:c>
      <x:c r="F120" s="21" t="str">
        <x:v>OBSERVED</x:v>
      </x:c>
      <x:c r="G120" s="22" t="n">
        <x:v>46</x:v>
      </x:c>
      <x:c r="H120" s="21" t="str">
        <x:v>ACI_AUTORITRATTO_2024</x:v>
      </x:c>
      <x:c r="I120" s="21" t="str">
        <x:v>2024</x:v>
      </x:c>
      <x:c r="J120" s="21" t="str">
        <x:v>RAFVG_REGIONAL_TABLE_2023</x:v>
      </x:c>
      <x:c r="K120" s="21" t="str">
        <x:v>NOT_ZERO</x:v>
      </x:c>
      <x:c r="L120" s="21" t="str">
        <x:v>2023_Q4</x:v>
      </x:c>
    </x:row>
    <x:row r="121">
      <x:c r="A121" s="20" t="str">
        <x:v>030127</x:v>
      </x:c>
      <x:c r="B121" s="21" t="str">
        <x:v>Tricesimo</x:v>
      </x:c>
      <x:c r="C121" s="22" t="n">
        <x:v>5886</x:v>
      </x:c>
      <x:c r="D121" s="23" t="n">
        <x:v>4972</x:v>
      </x:c>
      <x:c r="E121" s="24" t="n">
        <x:v>11233</x:v>
      </x:c>
      <x:c r="F121" s="21" t="str">
        <x:v>OBSERVED</x:v>
      </x:c>
      <x:c r="G121" s="22" t="n">
        <x:v>134</x:v>
      </x:c>
      <x:c r="H121" s="21" t="str">
        <x:v>ACI_AUTORITRATTO_2024</x:v>
      </x:c>
      <x:c r="I121" s="21" t="str">
        <x:v>2024</x:v>
      </x:c>
      <x:c r="J121" s="21" t="str">
        <x:v>RAFVG_REGIONAL_TABLE_2023</x:v>
      </x:c>
      <x:c r="K121" s="21" t="str">
        <x:v>NOT_ZERO</x:v>
      </x:c>
      <x:c r="L121" s="21" t="str">
        <x:v>2023_Q4</x:v>
      </x:c>
    </x:row>
    <x:row r="122">
      <x:c r="A122" s="20" t="str">
        <x:v>030128</x:v>
      </x:c>
      <x:c r="B122" s="21" t="str">
        <x:v>Trivignano Udinese</x:v>
      </x:c>
      <x:c r="C122" s="22" t="n">
        <x:v>1147</x:v>
      </x:c>
      <x:c r="D122" s="23" t="n">
        <x:v>5572</x:v>
      </x:c>
      <x:c r="E122" s="24" t="n">
        <x:v>0</x:v>
      </x:c>
      <x:c r="F122" s="21" t="str">
        <x:v>OBSERVED</x:v>
      </x:c>
      <x:c r="G122" s="22" t="n">
        <x:v>80</x:v>
      </x:c>
      <x:c r="H122" s="21" t="str">
        <x:v>ACI_AUTORITRATTO_2024</x:v>
      </x:c>
      <x:c r="I122" s="21" t="str">
        <x:v>2024</x:v>
      </x:c>
      <x:c r="J122" s="21" t="str">
        <x:v>RAFVG_REGIONAL_TABLE_2023</x:v>
      </x:c>
      <x:c r="K122" s="21" t="str">
        <x:v>REGIONAL_TABLE</x:v>
      </x:c>
      <x:c r="L122" s="21" t="str">
        <x:v>2023_Q4</x:v>
      </x:c>
    </x:row>
    <x:row r="123">
      <x:c r="A123" s="20" t="str">
        <x:v>030129</x:v>
      </x:c>
      <x:c r="B123" s="21" t="str">
        <x:v>Udine</x:v>
      </x:c>
      <x:c r="C123" s="22" t="n">
        <x:v>67623</x:v>
      </x:c>
      <x:c r="D123" s="23" t="n">
        <x:v>419770</x:v>
      </x:c>
      <x:c r="E123" s="24" t="n">
        <x:v>112968.85</x:v>
      </x:c>
      <x:c r="F123" s="21" t="str">
        <x:v>OBSERVED</x:v>
      </x:c>
      <x:c r="G123" s="22" t="n">
        <x:v>4487</x:v>
      </x:c>
      <x:c r="H123" s="21" t="str">
        <x:v>ACI_AUTORITRATTO_2024</x:v>
      </x:c>
      <x:c r="I123" s="21" t="str">
        <x:v>2024</x:v>
      </x:c>
      <x:c r="J123" s="21" t="str">
        <x:v>RAFVG_REGIONAL_TABLE_2023</x:v>
      </x:c>
      <x:c r="K123" s="21" t="str">
        <x:v>NOT_ZERO</x:v>
      </x:c>
      <x:c r="L123" s="21" t="str">
        <x:v>2023_Q4</x:v>
      </x:c>
    </x:row>
    <x:row r="124">
      <x:c r="A124" s="20" t="str">
        <x:v>030130</x:v>
      </x:c>
      <x:c r="B124" s="21" t="str">
        <x:v>Varmo</x:v>
      </x:c>
      <x:c r="C124" s="22" t="n">
        <x:v>1999</x:v>
      </x:c>
      <x:c r="D124" s="23" t="n">
        <x:v>283</x:v>
      </x:c>
      <x:c r="E124" s="24" t="n">
        <x:v>0</x:v>
      </x:c>
      <x:c r="F124" s="21" t="str">
        <x:v>OBSERVED</x:v>
      </x:c>
      <x:c r="G124" s="22" t="n">
        <x:v>38</x:v>
      </x:c>
      <x:c r="H124" s="21" t="str">
        <x:v>ACI_AUTORITRATTO_2024</x:v>
      </x:c>
      <x:c r="I124" s="21" t="str">
        <x:v>2024</x:v>
      </x:c>
      <x:c r="J124" s="21" t="str">
        <x:v>RAFVG_REGIONAL_TABLE_2023</x:v>
      </x:c>
      <x:c r="K124" s="21" t="str">
        <x:v>REGIONAL_TABLE</x:v>
      </x:c>
      <x:c r="L124" s="21" t="str">
        <x:v>2023_Q4</x:v>
      </x:c>
    </x:row>
    <x:row r="125">
      <x:c r="A125" s="20" t="str">
        <x:v>030131</x:v>
      </x:c>
      <x:c r="B125" s="21" t="str">
        <x:v>Venzone</x:v>
      </x:c>
      <x:c r="C125" s="22" t="n">
        <x:v>1415</x:v>
      </x:c>
      <x:c r="D125" s="23" t="n">
        <x:v>30564</x:v>
      </x:c>
      <x:c r="E125" s="24" t="n">
        <x:v>0</x:v>
      </x:c>
      <x:c r="F125" s="21" t="str">
        <x:v>OBSERVED</x:v>
      </x:c>
      <x:c r="G125" s="22" t="n">
        <x:v>381</x:v>
      </x:c>
      <x:c r="H125" s="21" t="str">
        <x:v>ACI_AUTORITRATTO_2024</x:v>
      </x:c>
      <x:c r="I125" s="21" t="str">
        <x:v>2024</x:v>
      </x:c>
      <x:c r="J125" s="21" t="str">
        <x:v>RAFVG_REGIONAL_TABLE_2023</x:v>
      </x:c>
      <x:c r="K125" s="21" t="str">
        <x:v>REGIONAL_TABLE</x:v>
      </x:c>
      <x:c r="L125" s="21" t="str">
        <x:v>2023_Q4</x:v>
      </x:c>
    </x:row>
    <x:row r="126">
      <x:c r="A126" s="20" t="str">
        <x:v>030132</x:v>
      </x:c>
      <x:c r="B126" s="21" t="str">
        <x:v>Verzegnis</x:v>
      </x:c>
      <x:c r="C126" s="22" t="n">
        <x:v>615</x:v>
      </x:c>
      <x:c r="D126" s="23" t="n">
        <x:v>2388</x:v>
      </x:c>
      <x:c r="E126" s="24" t="n">
        <x:v>0</x:v>
      </x:c>
      <x:c r="F126" s="21" t="str">
        <x:v>OBSERVED</x:v>
      </x:c>
      <x:c r="G126" s="22" t="n">
        <x:v>86</x:v>
      </x:c>
      <x:c r="H126" s="21" t="str">
        <x:v>ACI_AUTORITRATTO_2024</x:v>
      </x:c>
      <x:c r="I126" s="21" t="str">
        <x:v>2024</x:v>
      </x:c>
      <x:c r="J126" s="21" t="str">
        <x:v>RAFVG_REGIONAL_TABLE_2023</x:v>
      </x:c>
      <x:c r="K126" s="21" t="str">
        <x:v>REGIONAL_TABLE</x:v>
      </x:c>
      <x:c r="L126" s="21" t="str">
        <x:v>2023_Q4</x:v>
      </x:c>
    </x:row>
    <x:row r="127">
      <x:c r="A127" s="20" t="str">
        <x:v>030133</x:v>
      </x:c>
      <x:c r="B127" s="21" t="str">
        <x:v>Villa Santina</x:v>
      </x:c>
      <x:c r="C127" s="22" t="n">
        <x:v>1487</x:v>
      </x:c>
      <x:c r="D127" s="23" t="n">
        <x:v>910</x:v>
      </x:c>
      <x:c r="E127" s="24" t="n">
        <x:v>1610</x:v>
      </x:c>
      <x:c r="F127" s="21" t="str">
        <x:v>OBSERVED</x:v>
      </x:c>
      <x:c r="G127" s="22" t="n">
        <x:v>82</x:v>
      </x:c>
      <x:c r="H127" s="21" t="str">
        <x:v>ACI_AUTORITRATTO_2024</x:v>
      </x:c>
      <x:c r="I127" s="21" t="str">
        <x:v>2024</x:v>
      </x:c>
      <x:c r="J127" s="21" t="str">
        <x:v>RAFVG_REGIONAL_TABLE_2023</x:v>
      </x:c>
      <x:c r="K127" s="21" t="str">
        <x:v>NOT_ZERO</x:v>
      </x:c>
      <x:c r="L127" s="21" t="str">
        <x:v>2023_Q4</x:v>
      </x:c>
    </x:row>
    <x:row r="128">
      <x:c r="A128" s="20" t="str">
        <x:v>030135</x:v>
      </x:c>
      <x:c r="B128" s="21" t="str">
        <x:v>Visco</x:v>
      </x:c>
      <x:c r="C128" s="22" t="n">
        <x:v>589</x:v>
      </x:c>
      <x:c r="D128" s="23" t="n">
        <x:v>189.96610169491527</x:v>
      </x:c>
      <x:c r="E128" s="24" t="n">
        <x:v>0</x:v>
      </x:c>
      <x:c r="F128" s="21" t="str">
        <x:v>IMPUTED_BEDS_RESIDUAL</x:v>
      </x:c>
      <x:c r="G128" s="22" t="n">
        <x:v>12</x:v>
      </x:c>
      <x:c r="H128" s="21" t="str">
        <x:v>ACI_AUTORITRATTO_2024</x:v>
      </x:c>
      <x:c r="I128" s="21" t="str">
        <x:v>2024</x:v>
      </x:c>
      <x:c r="J128" s="21" t="str">
        <x:v>RAFVG_REGIONAL_TABLE_2023</x:v>
      </x:c>
      <x:c r="K128" s="21" t="str">
        <x:v>REGIONAL_TABLE</x:v>
      </x:c>
      <x:c r="L128" s="21" t="str">
        <x:v>2023_Q4</x:v>
      </x:c>
    </x:row>
    <x:row r="129">
      <x:c r="A129" s="20" t="str">
        <x:v>030136</x:v>
      </x:c>
      <x:c r="B129" s="21" t="str">
        <x:v>Zuglio</x:v>
      </x:c>
      <x:c r="C129" s="22" t="n">
        <x:v>403</x:v>
      </x:c>
      <x:c r="D129" s="23" t="n">
        <x:v>364.10169491525426</x:v>
      </x:c>
      <x:c r="E129" s="24" t="n">
        <x:v>0</x:v>
      </x:c>
      <x:c r="F129" s="21" t="str">
        <x:v>IMPUTED_BEDS_RESIDUAL</x:v>
      </x:c>
      <x:c r="G129" s="22" t="n">
        <x:v>23</x:v>
      </x:c>
      <x:c r="H129" s="21" t="str">
        <x:v>ACI_AUTORITRATTO_2024</x:v>
      </x:c>
      <x:c r="I129" s="21" t="str">
        <x:v>2024</x:v>
      </x:c>
      <x:c r="J129" s="21" t="str">
        <x:v>RAFVG_REGIONAL_TABLE_2023</x:v>
      </x:c>
      <x:c r="K129" s="21" t="str">
        <x:v>REGIONAL_TABLE</x:v>
      </x:c>
      <x:c r="L129" s="21" t="str">
        <x:v>2023_Q4</x:v>
      </x:c>
    </x:row>
    <x:row r="130">
      <x:c r="A130" s="20" t="str">
        <x:v>030137</x:v>
      </x:c>
      <x:c r="B130" s="21" t="str">
        <x:v>Forgaria nel Friuli</x:v>
      </x:c>
      <x:c r="C130" s="22" t="n">
        <x:v>1296</x:v>
      </x:c>
      <x:c r="D130" s="23" t="n">
        <x:v>5385</x:v>
      </x:c>
      <x:c r="E130" s="24" t="n">
        <x:v>0</x:v>
      </x:c>
      <x:c r="F130" s="21" t="str">
        <x:v>OBSERVED</x:v>
      </x:c>
      <x:c r="G130" s="22" t="n">
        <x:v>238</x:v>
      </x:c>
      <x:c r="H130" s="21" t="str">
        <x:v>ACI_AUTORITRATTO_2024</x:v>
      </x:c>
      <x:c r="I130" s="21" t="str">
        <x:v>2024</x:v>
      </x:c>
      <x:c r="J130" s="21" t="str">
        <x:v>RAFVG_REGIONAL_TABLE_2023</x:v>
      </x:c>
      <x:c r="K130" s="21" t="str">
        <x:v>REGIONAL_TABLE</x:v>
      </x:c>
      <x:c r="L130" s="21" t="str">
        <x:v>2023_Q4</x:v>
      </x:c>
    </x:row>
    <x:row r="131">
      <x:c r="A131" s="20" t="str">
        <x:v>030138</x:v>
      </x:c>
      <x:c r="B131" s="21" t="str">
        <x:v>Campolongo Tapogliano</x:v>
      </x:c>
      <x:c r="C131" s="22" t="n">
        <x:v>794</x:v>
      </x:c>
      <x:c r="D131" s="23" t="n">
        <x:v>0</x:v>
      </x:c>
      <x:c r="E131" s="24" t="n">
        <x:v>0</x:v>
      </x:c>
      <x:c r="F131" s="21" t="str">
        <x:v>ZERO_CAPACITY</x:v>
      </x:c>
      <x:c r="G131" s="22" t="n">
        <x:v>0</x:v>
      </x:c>
      <x:c r="H131" s="21" t="str">
        <x:v>ACI_AUTORITRATTO_2024</x:v>
      </x:c>
      <x:c r="I131" s="21" t="str">
        <x:v>2024</x:v>
      </x:c>
      <x:c r="J131" s="21" t="str">
        <x:v>RAFVG_REGIONAL_TABLE_2023</x:v>
      </x:c>
      <x:c r="K131" s="21" t="str">
        <x:v>REGIONAL_TABLE</x:v>
      </x:c>
      <x:c r="L131" s="21" t="str">
        <x:v>2023_Q4</x:v>
      </x:c>
    </x:row>
    <x:row r="132">
      <x:c r="A132" s="20" t="str">
        <x:v>030188</x:v>
      </x:c>
      <x:c r="B132" s="21" t="str">
        <x:v>Rivignano Teor</x:v>
      </x:c>
      <x:c r="C132" s="22" t="n">
        <x:v>4497</x:v>
      </x:c>
      <x:c r="D132" s="23" t="n">
        <x:v>2822</x:v>
      </x:c>
      <x:c r="E132" s="24" t="n">
        <x:v>4060</x:v>
      </x:c>
      <x:c r="F132" s="21" t="str">
        <x:v>OBSERVED</x:v>
      </x:c>
      <x:c r="G132" s="22" t="n">
        <x:v>135</x:v>
      </x:c>
      <x:c r="H132" s="21" t="str">
        <x:v>ACI_AUTORITRATTO_2024</x:v>
      </x:c>
      <x:c r="I132" s="21" t="str">
        <x:v>2024</x:v>
      </x:c>
      <x:c r="J132" s="21" t="str">
        <x:v>RAFVG_REGIONAL_TABLE_2023</x:v>
      </x:c>
      <x:c r="K132" s="21" t="str">
        <x:v>NOT_ZERO</x:v>
      </x:c>
      <x:c r="L132" s="21" t="str">
        <x:v>2023_Q4</x:v>
      </x:c>
    </x:row>
    <x:row r="133">
      <x:c r="A133" s="20" t="str">
        <x:v>030189</x:v>
      </x:c>
      <x:c r="B133" s="21" t="str">
        <x:v>Sappada</x:v>
      </x:c>
      <x:c r="C133" s="22" t="n">
        <x:v>806</x:v>
      </x:c>
      <x:c r="D133" s="23" t="n">
        <x:v>87816</x:v>
      </x:c>
      <x:c r="E133" s="24" t="n">
        <x:v>0</x:v>
      </x:c>
      <x:c r="F133" s="21" t="str">
        <x:v>OBSERVED</x:v>
      </x:c>
      <x:c r="G133" s="22" t="n">
        <x:v>1438</x:v>
      </x:c>
      <x:c r="H133" s="21" t="str">
        <x:v>ACI_AUTORITRATTO_2024</x:v>
      </x:c>
      <x:c r="I133" s="21" t="str">
        <x:v>2024</x:v>
      </x:c>
      <x:c r="J133" s="21" t="str">
        <x:v>RAFVG_REGIONAL_TABLE_2023</x:v>
      </x:c>
      <x:c r="K133" s="21" t="str">
        <x:v>REGIONAL_TABLE</x:v>
      </x:c>
      <x:c r="L133" s="21" t="str">
        <x:v>2023_Q4</x:v>
      </x:c>
    </x:row>
    <x:row r="134">
      <x:c r="A134" s="20" t="str">
        <x:v>030190</x:v>
      </x:c>
      <x:c r="B134" s="21" t="str">
        <x:v>Fiumicello Villa Vicentina</x:v>
      </x:c>
      <x:c r="C134" s="22" t="n">
        <x:v>4601</x:v>
      </x:c>
      <x:c r="D134" s="23" t="n">
        <x:v>9503</x:v>
      </x:c>
      <x:c r="E134" s="24" t="n">
        <x:v>5507</x:v>
      </x:c>
      <x:c r="F134" s="21" t="str">
        <x:v>OBSERVED</x:v>
      </x:c>
      <x:c r="G134" s="22" t="n">
        <x:v>179</x:v>
      </x:c>
      <x:c r="H134" s="21" t="str">
        <x:v>ACI_AUTORITRATTO_2024</x:v>
      </x:c>
      <x:c r="I134" s="21" t="str">
        <x:v>2024</x:v>
      </x:c>
      <x:c r="J134" s="21" t="str">
        <x:v>RAFVG_REGIONAL_TABLE_2023</x:v>
      </x:c>
      <x:c r="K134" s="21" t="str">
        <x:v>NOT_ZERO</x:v>
      </x:c>
      <x:c r="L134" s="21" t="str">
        <x:v>2023_Q4</x:v>
      </x:c>
    </x:row>
    <x:row r="135">
      <x:c r="A135" s="20" t="str">
        <x:v>030191</x:v>
      </x:c>
      <x:c r="B135" s="21" t="str">
        <x:v>Treppo Ligosullo</x:v>
      </x:c>
      <x:c r="C135" s="22" t="n">
        <x:v>384</x:v>
      </x:c>
      <x:c r="D135" s="23" t="n">
        <x:v>411.59322033898303</x:v>
      </x:c>
      <x:c r="E135" s="24" t="n">
        <x:v>0</x:v>
      </x:c>
      <x:c r="F135" s="21" t="str">
        <x:v>IMPUTED_BEDS_RESIDUAL</x:v>
      </x:c>
      <x:c r="G135" s="22" t="n">
        <x:v>26</x:v>
      </x:c>
      <x:c r="H135" s="21" t="str">
        <x:v>ACI_AUTORITRATTO_2024</x:v>
      </x:c>
      <x:c r="I135" s="21" t="str">
        <x:v>2024</x:v>
      </x:c>
      <x:c r="J135" s="21" t="str">
        <x:v>RAFVG_REGIONAL_TABLE_2023</x:v>
      </x:c>
      <x:c r="K135" s="21" t="str">
        <x:v>REGIONAL_TABLE</x:v>
      </x:c>
      <x:c r="L135" s="21" t="str">
        <x:v>2023_Q4</x:v>
      </x:c>
    </x:row>
    <x:row r="136">
      <x:c r="A136" s="20" t="str">
        <x:v>031001</x:v>
      </x:c>
      <x:c r="B136" s="21" t="str">
        <x:v>Capriva del Friuli</x:v>
      </x:c>
      <x:c r="C136" s="22" t="n">
        <x:v>1224</x:v>
      </x:c>
      <x:c r="D136" s="23" t="n">
        <x:v>7826</x:v>
      </x:c>
      <x:c r="E136" s="24" t="n">
        <x:v>996</x:v>
      </x:c>
      <x:c r="F136" s="21" t="str">
        <x:v>OBSERVED</x:v>
      </x:c>
      <x:c r="G136" s="22" t="n">
        <x:v>131</x:v>
      </x:c>
      <x:c r="H136" s="21" t="str">
        <x:v>ACI_AUTORITRATTO_2024</x:v>
      </x:c>
      <x:c r="I136" s="21" t="str">
        <x:v>2024</x:v>
      </x:c>
      <x:c r="J136" s="21" t="str">
        <x:v>RAFVG_REGIONAL_TABLE_2023</x:v>
      </x:c>
      <x:c r="K136" s="21" t="str">
        <x:v>NOT_ZERO</x:v>
      </x:c>
      <x:c r="L136" s="21" t="str">
        <x:v>2023_Q4</x:v>
      </x:c>
    </x:row>
    <x:row r="137">
      <x:c r="A137" s="20" t="str">
        <x:v>031002</x:v>
      </x:c>
      <x:c r="B137" s="21" t="str">
        <x:v>Cormons</x:v>
      </x:c>
      <x:c r="C137" s="22" t="n">
        <x:v>5144</x:v>
      </x:c>
      <x:c r="D137" s="23" t="n">
        <x:v>34120</x:v>
      </x:c>
      <x:c r="E137" s="24" t="n">
        <x:v>3483.36</x:v>
      </x:c>
      <x:c r="F137" s="21" t="str">
        <x:v>OBSERVED</x:v>
      </x:c>
      <x:c r="G137" s="22" t="n">
        <x:v>826</x:v>
      </x:c>
      <x:c r="H137" s="21" t="str">
        <x:v>ACI_AUTORITRATTO_2024</x:v>
      </x:c>
      <x:c r="I137" s="21" t="str">
        <x:v>2024</x:v>
      </x:c>
      <x:c r="J137" s="21" t="str">
        <x:v>RAFVG_REGIONAL_TABLE_2023</x:v>
      </x:c>
      <x:c r="K137" s="21" t="str">
        <x:v>NOT_ZERO</x:v>
      </x:c>
      <x:c r="L137" s="21" t="str">
        <x:v>2023_Q4</x:v>
      </x:c>
    </x:row>
    <x:row r="138">
      <x:c r="A138" s="20" t="str">
        <x:v>031003</x:v>
      </x:c>
      <x:c r="B138" s="21" t="str">
        <x:v>Doberdò del Lago-Doberdob</x:v>
      </x:c>
      <x:c r="C138" s="22" t="n">
        <x:v>1079</x:v>
      </x:c>
      <x:c r="D138" s="23" t="n">
        <x:v>124</x:v>
      </x:c>
      <x:c r="E138" s="24" t="n">
        <x:v>0</x:v>
      </x:c>
      <x:c r="F138" s="21" t="str">
        <x:v>OBSERVED</x:v>
      </x:c>
      <x:c r="G138" s="22" t="n">
        <x:v>53</x:v>
      </x:c>
      <x:c r="H138" s="21" t="str">
        <x:v>ACI_AUTORITRATTO_2024</x:v>
      </x:c>
      <x:c r="I138" s="21" t="str">
        <x:v>2024</x:v>
      </x:c>
      <x:c r="J138" s="21" t="str">
        <x:v>RAFVG_REGIONAL_TABLE_2023</x:v>
      </x:c>
      <x:c r="K138" s="21" t="str">
        <x:v>REGIONAL_TABLE</x:v>
      </x:c>
      <x:c r="L138" s="21" t="str">
        <x:v>2023_Q4</x:v>
      </x:c>
    </x:row>
    <x:row r="139">
      <x:c r="A139" s="20" t="str">
        <x:v>031004</x:v>
      </x:c>
      <x:c r="B139" s="21" t="str">
        <x:v>Dolegna del Collio</x:v>
      </x:c>
      <x:c r="C139" s="22" t="n">
        <x:v>281</x:v>
      </x:c>
      <x:c r="D139" s="23" t="n">
        <x:v>3036</x:v>
      </x:c>
      <x:c r="E139" s="24" t="n">
        <x:v>0</x:v>
      </x:c>
      <x:c r="F139" s="21" t="str">
        <x:v>OBSERVED</x:v>
      </x:c>
      <x:c r="G139" s="22" t="n">
        <x:v>89</x:v>
      </x:c>
      <x:c r="H139" s="21" t="str">
        <x:v>ACI_AUTORITRATTO_2024</x:v>
      </x:c>
      <x:c r="I139" s="21" t="str">
        <x:v>2024</x:v>
      </x:c>
      <x:c r="J139" s="21" t="str">
        <x:v>RAFVG_REGIONAL_TABLE_2023</x:v>
      </x:c>
      <x:c r="K139" s="21" t="str">
        <x:v>REGIONAL_TABLE</x:v>
      </x:c>
      <x:c r="L139" s="21" t="str">
        <x:v>2023_Q4</x:v>
      </x:c>
    </x:row>
    <x:row r="140">
      <x:c r="A140" s="20" t="str">
        <x:v>031005</x:v>
      </x:c>
      <x:c r="B140" s="21" t="str">
        <x:v>Farra d'Isonzo</x:v>
      </x:c>
      <x:c r="C140" s="22" t="n">
        <x:v>1349</x:v>
      </x:c>
      <x:c r="D140" s="23" t="n">
        <x:v>4979</x:v>
      </x:c>
      <x:c r="E140" s="24" t="n">
        <x:v>0</x:v>
      </x:c>
      <x:c r="F140" s="21" t="str">
        <x:v>OBSERVED</x:v>
      </x:c>
      <x:c r="G140" s="22" t="n">
        <x:v>95</x:v>
      </x:c>
      <x:c r="H140" s="21" t="str">
        <x:v>ACI_AUTORITRATTO_2024</x:v>
      </x:c>
      <x:c r="I140" s="21" t="str">
        <x:v>2024</x:v>
      </x:c>
      <x:c r="J140" s="21" t="str">
        <x:v>RAFVG_REGIONAL_TABLE_2023</x:v>
      </x:c>
      <x:c r="K140" s="21" t="str">
        <x:v>REGIONAL_TABLE</x:v>
      </x:c>
      <x:c r="L140" s="21" t="str">
        <x:v>2023_Q4</x:v>
      </x:c>
    </x:row>
    <x:row r="141">
      <x:c r="A141" s="20" t="str">
        <x:v>031006</x:v>
      </x:c>
      <x:c r="B141" s="21" t="str">
        <x:v>Fogliano Redipuglia</x:v>
      </x:c>
      <x:c r="C141" s="22" t="n">
        <x:v>2095</x:v>
      </x:c>
      <x:c r="D141" s="23" t="n">
        <x:v>21024</x:v>
      </x:c>
      <x:c r="E141" s="24" t="n">
        <x:v>8879.01</x:v>
      </x:c>
      <x:c r="F141" s="21" t="str">
        <x:v>OBSERVED</x:v>
      </x:c>
      <x:c r="G141" s="22" t="n">
        <x:v>233</x:v>
      </x:c>
      <x:c r="H141" s="21" t="str">
        <x:v>ACI_AUTORITRATTO_2024</x:v>
      </x:c>
      <x:c r="I141" s="21" t="str">
        <x:v>2024</x:v>
      </x:c>
      <x:c r="J141" s="21" t="str">
        <x:v>RAFVG_REGIONAL_TABLE_2023</x:v>
      </x:c>
      <x:c r="K141" s="21" t="str">
        <x:v>NOT_ZERO</x:v>
      </x:c>
      <x:c r="L141" s="21" t="str">
        <x:v>2023_Q4</x:v>
      </x:c>
    </x:row>
    <x:row r="142">
      <x:c r="A142" s="20" t="str">
        <x:v>031007</x:v>
      </x:c>
      <x:c r="B142" s="21" t="str">
        <x:v>Gorizia</x:v>
      </x:c>
      <x:c r="C142" s="22" t="n">
        <x:v>23235</x:v>
      </x:c>
      <x:c r="D142" s="23" t="n">
        <x:v>92858</x:v>
      </x:c>
      <x:c r="E142" s="24" t="n">
        <x:v>33576</x:v>
      </x:c>
      <x:c r="F142" s="21" t="str">
        <x:v>OBSERVED</x:v>
      </x:c>
      <x:c r="G142" s="22" t="n">
        <x:v>1147</x:v>
      </x:c>
      <x:c r="H142" s="21" t="str">
        <x:v>ACI_AUTORITRATTO_2024</x:v>
      </x:c>
      <x:c r="I142" s="21" t="str">
        <x:v>2024</x:v>
      </x:c>
      <x:c r="J142" s="21" t="str">
        <x:v>RAFVG_REGIONAL_TABLE_2023</x:v>
      </x:c>
      <x:c r="K142" s="21" t="str">
        <x:v>NOT_ZERO</x:v>
      </x:c>
      <x:c r="L142" s="21" t="str">
        <x:v>2023_Q4</x:v>
      </x:c>
    </x:row>
    <x:row r="143">
      <x:c r="A143" s="20" t="str">
        <x:v>031008</x:v>
      </x:c>
      <x:c r="B143" s="21" t="str">
        <x:v>Gradisca d'Isonzo</x:v>
      </x:c>
      <x:c r="C143" s="22" t="n">
        <x:v>4551</x:v>
      </x:c>
      <x:c r="D143" s="23" t="n">
        <x:v>56287</x:v>
      </x:c>
      <x:c r="E143" s="24" t="n">
        <x:v>16429</x:v>
      </x:c>
      <x:c r="F143" s="21" t="str">
        <x:v>OBSERVED</x:v>
      </x:c>
      <x:c r="G143" s="22" t="n">
        <x:v>394</x:v>
      </x:c>
      <x:c r="H143" s="21" t="str">
        <x:v>ACI_AUTORITRATTO_2024</x:v>
      </x:c>
      <x:c r="I143" s="21" t="str">
        <x:v>2024</x:v>
      </x:c>
      <x:c r="J143" s="21" t="str">
        <x:v>RAFVG_REGIONAL_TABLE_2023</x:v>
      </x:c>
      <x:c r="K143" s="21" t="str">
        <x:v>NOT_ZERO</x:v>
      </x:c>
      <x:c r="L143" s="21" t="str">
        <x:v>2023_Q4</x:v>
      </x:c>
    </x:row>
    <x:row r="144">
      <x:c r="A144" s="20" t="str">
        <x:v>031009</x:v>
      </x:c>
      <x:c r="B144" s="21" t="str">
        <x:v>Grado</x:v>
      </x:c>
      <x:c r="C144" s="22" t="n">
        <x:v>4819</x:v>
      </x:c>
      <x:c r="D144" s="23" t="n">
        <x:v>1401767</x:v>
      </x:c>
      <x:c r="E144" s="24" t="n">
        <x:v>1716</x:v>
      </x:c>
      <x:c r="F144" s="21" t="str">
        <x:v>OBSERVED</x:v>
      </x:c>
      <x:c r="G144" s="22" t="n">
        <x:v>21661</x:v>
      </x:c>
      <x:c r="H144" s="21" t="str">
        <x:v>ACI_AUTORITRATTO_2024</x:v>
      </x:c>
      <x:c r="I144" s="21" t="str">
        <x:v>2024</x:v>
      </x:c>
      <x:c r="J144" s="21" t="str">
        <x:v>RAFVG_REGIONAL_TABLE_2023</x:v>
      </x:c>
      <x:c r="K144" s="21" t="str">
        <x:v>NOT_ZERO</x:v>
      </x:c>
      <x:c r="L144" s="21" t="str">
        <x:v>2023_Q4</x:v>
      </x:c>
    </x:row>
    <x:row r="145">
      <x:c r="A145" s="20" t="str">
        <x:v>031010</x:v>
      </x:c>
      <x:c r="B145" s="21" t="str">
        <x:v>Mariano del Friuli</x:v>
      </x:c>
      <x:c r="C145" s="22" t="n">
        <x:v>1144</x:v>
      </x:c>
      <x:c r="D145" s="23" t="n">
        <x:v>474.91525423728814</x:v>
      </x:c>
      <x:c r="E145" s="24" t="n">
        <x:v>1098</x:v>
      </x:c>
      <x:c r="F145" s="21" t="str">
        <x:v>IMPUTED_BEDS_RESIDUAL</x:v>
      </x:c>
      <x:c r="G145" s="22" t="n">
        <x:v>30</x:v>
      </x:c>
      <x:c r="H145" s="21" t="str">
        <x:v>ACI_AUTORITRATTO_2024</x:v>
      </x:c>
      <x:c r="I145" s="21" t="str">
        <x:v>2024</x:v>
      </x:c>
      <x:c r="J145" s="21" t="str">
        <x:v>RAFVG_REGIONAL_TABLE_2023</x:v>
      </x:c>
      <x:c r="K145" s="21" t="str">
        <x:v>NOT_ZERO</x:v>
      </x:c>
      <x:c r="L145" s="21" t="str">
        <x:v>2023_Q4</x:v>
      </x:c>
    </x:row>
    <x:row r="146">
      <x:c r="A146" s="20" t="str">
        <x:v>031011</x:v>
      </x:c>
      <x:c r="B146" s="21" t="str">
        <x:v>Medea</x:v>
      </x:c>
      <x:c r="C146" s="22" t="n">
        <x:v>705</x:v>
      </x:c>
      <x:c r="D146" s="23" t="n">
        <x:v>1701</x:v>
      </x:c>
      <x:c r="E146" s="24" t="n">
        <x:v>0</x:v>
      </x:c>
      <x:c r="F146" s="21" t="str">
        <x:v>OBSERVED</x:v>
      </x:c>
      <x:c r="G146" s="22" t="n">
        <x:v>28</x:v>
      </x:c>
      <x:c r="H146" s="21" t="str">
        <x:v>ACI_AUTORITRATTO_2024</x:v>
      </x:c>
      <x:c r="I146" s="21" t="str">
        <x:v>2024</x:v>
      </x:c>
      <x:c r="J146" s="21" t="str">
        <x:v>RAFVG_REGIONAL_TABLE_2023</x:v>
      </x:c>
      <x:c r="K146" s="21" t="str">
        <x:v>REGIONAL_TABLE</x:v>
      </x:c>
      <x:c r="L146" s="21" t="str">
        <x:v>2023_Q4</x:v>
      </x:c>
    </x:row>
    <x:row r="147">
      <x:c r="A147" s="20" t="str">
        <x:v>031012</x:v>
      </x:c>
      <x:c r="B147" s="21" t="str">
        <x:v>Monfalcone</x:v>
      </x:c>
      <x:c r="C147" s="22" t="n">
        <x:v>15975</x:v>
      </x:c>
      <x:c r="D147" s="23" t="n">
        <x:v>249926</x:v>
      </x:c>
      <x:c r="E147" s="24" t="n">
        <x:v>37490</x:v>
      </x:c>
      <x:c r="F147" s="21" t="str">
        <x:v>OBSERVED</x:v>
      </x:c>
      <x:c r="G147" s="22" t="n">
        <x:v>2272</x:v>
      </x:c>
      <x:c r="H147" s="21" t="str">
        <x:v>ACI_AUTORITRATTO_2024</x:v>
      </x:c>
      <x:c r="I147" s="21" t="str">
        <x:v>2024</x:v>
      </x:c>
      <x:c r="J147" s="21" t="str">
        <x:v>RAFVG_REGIONAL_TABLE_2023</x:v>
      </x:c>
      <x:c r="K147" s="21" t="str">
        <x:v>NOT_ZERO</x:v>
      </x:c>
      <x:c r="L147" s="21" t="str">
        <x:v>2023_Q4</x:v>
      </x:c>
    </x:row>
    <x:row r="148">
      <x:c r="A148" s="20" t="str">
        <x:v>031013</x:v>
      </x:c>
      <x:c r="B148" s="21" t="str">
        <x:v>Moraro</x:v>
      </x:c>
      <x:c r="C148" s="22" t="n">
        <x:v>501</x:v>
      </x:c>
      <x:c r="D148" s="23" t="n">
        <x:v>0</x:v>
      </x:c>
      <x:c r="E148" s="24" t="n">
        <x:v>0</x:v>
      </x:c>
      <x:c r="F148" s="21" t="str">
        <x:v>ZERO_CAPACITY</x:v>
      </x:c>
      <x:c r="G148" s="22" t="n">
        <x:v>0</x:v>
      </x:c>
      <x:c r="H148" s="21" t="str">
        <x:v>ACI_AUTORITRATTO_2024</x:v>
      </x:c>
      <x:c r="I148" s="21" t="str">
        <x:v>2024</x:v>
      </x:c>
      <x:c r="J148" s="21" t="str">
        <x:v>RAFVG_REGIONAL_TABLE_2023</x:v>
      </x:c>
      <x:c r="K148" s="21" t="str">
        <x:v>REGIONAL_TABLE</x:v>
      </x:c>
      <x:c r="L148" s="21" t="str">
        <x:v>2023_Q4</x:v>
      </x:c>
    </x:row>
    <x:row r="149">
      <x:c r="A149" s="20" t="str">
        <x:v>031014</x:v>
      </x:c>
      <x:c r="B149" s="21" t="str">
        <x:v>Mossa</x:v>
      </x:c>
      <x:c r="C149" s="22" t="n">
        <x:v>1121</x:v>
      </x:c>
      <x:c r="D149" s="23" t="n">
        <x:v>363</x:v>
      </x:c>
      <x:c r="E149" s="24" t="n">
        <x:v>0</x:v>
      </x:c>
      <x:c r="F149" s="21" t="str">
        <x:v>OBSERVED</x:v>
      </x:c>
      <x:c r="G149" s="22" t="n">
        <x:v>36</x:v>
      </x:c>
      <x:c r="H149" s="21" t="str">
        <x:v>ACI_AUTORITRATTO_2024</x:v>
      </x:c>
      <x:c r="I149" s="21" t="str">
        <x:v>2024</x:v>
      </x:c>
      <x:c r="J149" s="21" t="str">
        <x:v>RAFVG_REGIONAL_TABLE_2023</x:v>
      </x:c>
      <x:c r="K149" s="21" t="str">
        <x:v>REGIONAL_TABLE</x:v>
      </x:c>
      <x:c r="L149" s="21" t="str">
        <x:v>2023_Q4</x:v>
      </x:c>
    </x:row>
    <x:row r="150">
      <x:c r="A150" s="20" t="str">
        <x:v>031015</x:v>
      </x:c>
      <x:c r="B150" s="21" t="str">
        <x:v>Romans d'Isonzo</x:v>
      </x:c>
      <x:c r="C150" s="22" t="n">
        <x:v>2678</x:v>
      </x:c>
      <x:c r="D150" s="23" t="n">
        <x:v>189.96610169491527</x:v>
      </x:c>
      <x:c r="E150" s="24" t="n">
        <x:v>0</x:v>
      </x:c>
      <x:c r="F150" s="21" t="str">
        <x:v>IMPUTED_BEDS_RESIDUAL</x:v>
      </x:c>
      <x:c r="G150" s="22" t="n">
        <x:v>12</x:v>
      </x:c>
      <x:c r="H150" s="21" t="str">
        <x:v>ACI_AUTORITRATTO_2024</x:v>
      </x:c>
      <x:c r="I150" s="21" t="str">
        <x:v>2024</x:v>
      </x:c>
      <x:c r="J150" s="21" t="str">
        <x:v>RAFVG_REGIONAL_TABLE_2023</x:v>
      </x:c>
      <x:c r="K150" s="21" t="str">
        <x:v>REGIONAL_TABLE</x:v>
      </x:c>
      <x:c r="L150" s="21" t="str">
        <x:v>2018_Q1</x:v>
      </x:c>
    </x:row>
    <x:row r="151">
      <x:c r="A151" s="20" t="str">
        <x:v>031016</x:v>
      </x:c>
      <x:c r="B151" s="21" t="str">
        <x:v>Ronchi dei Legionari</x:v>
      </x:c>
      <x:c r="C151" s="22" t="n">
        <x:v>8289</x:v>
      </x:c>
      <x:c r="D151" s="23" t="n">
        <x:v>50148</x:v>
      </x:c>
      <x:c r="E151" s="24" t="n">
        <x:v>21080.2</x:v>
      </x:c>
      <x:c r="F151" s="21" t="str">
        <x:v>OBSERVED</x:v>
      </x:c>
      <x:c r="G151" s="22" t="n">
        <x:v>290</x:v>
      </x:c>
      <x:c r="H151" s="21" t="str">
        <x:v>ACI_AUTORITRATTO_2024</x:v>
      </x:c>
      <x:c r="I151" s="21" t="str">
        <x:v>2024</x:v>
      </x:c>
      <x:c r="J151" s="21" t="str">
        <x:v>RAFVG_REGIONAL_TABLE_2023</x:v>
      </x:c>
      <x:c r="K151" s="21" t="str">
        <x:v>NOT_ZERO</x:v>
      </x:c>
      <x:c r="L151" s="21" t="str">
        <x:v>2023_Q4</x:v>
      </x:c>
    </x:row>
    <x:row r="152">
      <x:c r="A152" s="20" t="str">
        <x:v>031017</x:v>
      </x:c>
      <x:c r="B152" s="21" t="str">
        <x:v>Sagrado</x:v>
      </x:c>
      <x:c r="C152" s="22" t="n">
        <x:v>1601</x:v>
      </x:c>
      <x:c r="D152" s="23" t="n">
        <x:v>1278</x:v>
      </x:c>
      <x:c r="E152" s="24" t="n">
        <x:v>0</x:v>
      </x:c>
      <x:c r="F152" s="21" t="str">
        <x:v>OBSERVED</x:v>
      </x:c>
      <x:c r="G152" s="22" t="n">
        <x:v>39</x:v>
      </x:c>
      <x:c r="H152" s="21" t="str">
        <x:v>ACI_AUTORITRATTO_2024</x:v>
      </x:c>
      <x:c r="I152" s="21" t="str">
        <x:v>2024</x:v>
      </x:c>
      <x:c r="J152" s="21" t="str">
        <x:v>RAFVG_REGIONAL_TABLE_2023</x:v>
      </x:c>
      <x:c r="K152" s="21" t="str">
        <x:v>REGIONAL_TABLE</x:v>
      </x:c>
      <x:c r="L152" s="21" t="str">
        <x:v>2023_Q4</x:v>
      </x:c>
    </x:row>
    <x:row r="153">
      <x:c r="A153" s="20" t="str">
        <x:v>031018</x:v>
      </x:c>
      <x:c r="B153" s="21" t="str">
        <x:v>San Canzian d'Isonzo</x:v>
      </x:c>
      <x:c r="C153" s="22" t="n">
        <x:v>4367</x:v>
      </x:c>
      <x:c r="D153" s="23" t="n">
        <x:v>4254</x:v>
      </x:c>
      <x:c r="E153" s="24" t="n">
        <x:v>0</x:v>
      </x:c>
      <x:c r="F153" s="21" t="str">
        <x:v>OBSERVED</x:v>
      </x:c>
      <x:c r="G153" s="22" t="n">
        <x:v>165</x:v>
      </x:c>
      <x:c r="H153" s="21" t="str">
        <x:v>ACI_AUTORITRATTO_2024</x:v>
      </x:c>
      <x:c r="I153" s="21" t="str">
        <x:v>2024</x:v>
      </x:c>
      <x:c r="J153" s="21" t="str">
        <x:v>RAFVG_REGIONAL_TABLE_2023</x:v>
      </x:c>
      <x:c r="K153" s="21" t="str">
        <x:v>REGIONAL_TABLE</x:v>
      </x:c>
      <x:c r="L153" s="21" t="str">
        <x:v>2023_Q4</x:v>
      </x:c>
    </x:row>
    <x:row r="154">
      <x:c r="A154" s="20" t="str">
        <x:v>031019</x:v>
      </x:c>
      <x:c r="B154" s="21" t="str">
        <x:v>San Floriano del Collio-Števerjan</x:v>
      </x:c>
      <x:c r="C154" s="22" t="n">
        <x:v>570</x:v>
      </x:c>
      <x:c r="D154" s="23" t="n">
        <x:v>1348</x:v>
      </x:c>
      <x:c r="E154" s="24" t="n">
        <x:v>0</x:v>
      </x:c>
      <x:c r="F154" s="21" t="str">
        <x:v>OBSERVED</x:v>
      </x:c>
      <x:c r="G154" s="22" t="n">
        <x:v>95</x:v>
      </x:c>
      <x:c r="H154" s="21" t="str">
        <x:v>ACI_AUTORITRATTO_2024</x:v>
      </x:c>
      <x:c r="I154" s="21" t="str">
        <x:v>2024</x:v>
      </x:c>
      <x:c r="J154" s="21" t="str">
        <x:v>EXTERNAL_EVIDENCE_2023</x:v>
      </x:c>
      <x:c r="K154" s="21" t="str">
        <x:v>EXTERNAL_EVIDENCE</x:v>
      </x:c>
      <x:c r="L154" s="21" t="str">
        <x:v>2023</x:v>
      </x:c>
    </x:row>
    <x:row r="155">
      <x:c r="A155" s="20" t="str">
        <x:v>031020</x:v>
      </x:c>
      <x:c r="B155" s="21" t="str">
        <x:v>San Lorenzo Isontino</x:v>
      </x:c>
      <x:c r="C155" s="22" t="n">
        <x:v>1148</x:v>
      </x:c>
      <x:c r="D155" s="23" t="n">
        <x:v>237.45762711864407</x:v>
      </x:c>
      <x:c r="E155" s="24" t="n">
        <x:v>561</x:v>
      </x:c>
      <x:c r="F155" s="21" t="str">
        <x:v>IMPUTED_BEDS_RESIDUAL</x:v>
      </x:c>
      <x:c r="G155" s="22" t="n">
        <x:v>15</x:v>
      </x:c>
      <x:c r="H155" s="21" t="str">
        <x:v>ACI_AUTORITRATTO_2024</x:v>
      </x:c>
      <x:c r="I155" s="21" t="str">
        <x:v>2024</x:v>
      </x:c>
      <x:c r="J155" s="21" t="str">
        <x:v>RAFVG_REGIONAL_TABLE_2023</x:v>
      </x:c>
      <x:c r="K155" s="21" t="str">
        <x:v>NOT_ZERO</x:v>
      </x:c>
      <x:c r="L155" s="21" t="str">
        <x:v>2023_Q4</x:v>
      </x:c>
    </x:row>
    <x:row r="156">
      <x:c r="A156" s="20" t="str">
        <x:v>031021</x:v>
      </x:c>
      <x:c r="B156" s="21" t="str">
        <x:v>San Pier d'Isonzo</x:v>
      </x:c>
      <x:c r="C156" s="22" t="n">
        <x:v>1403</x:v>
      </x:c>
      <x:c r="D156" s="23" t="n">
        <x:v>247</x:v>
      </x:c>
      <x:c r="E156" s="24" t="n">
        <x:v>0</x:v>
      </x:c>
      <x:c r="F156" s="21" t="str">
        <x:v>OBSERVED</x:v>
      </x:c>
      <x:c r="G156" s="22" t="n">
        <x:v>36</x:v>
      </x:c>
      <x:c r="H156" s="21" t="str">
        <x:v>ACI_AUTORITRATTO_2024</x:v>
      </x:c>
      <x:c r="I156" s="21" t="str">
        <x:v>2024</x:v>
      </x:c>
      <x:c r="J156" s="21" t="str">
        <x:v>RAFVG_REGIONAL_TABLE_2023</x:v>
      </x:c>
      <x:c r="K156" s="21" t="str">
        <x:v>REGIONAL_TABLE</x:v>
      </x:c>
      <x:c r="L156" s="21" t="str">
        <x:v>2023_Q4</x:v>
      </x:c>
    </x:row>
    <x:row r="157">
      <x:c r="A157" s="20" t="str">
        <x:v>031022</x:v>
      </x:c>
      <x:c r="B157" s="21" t="str">
        <x:v>Savogna d'Isonzo-Sovodnje ob Soči</x:v>
      </x:c>
      <x:c r="C157" s="22" t="n">
        <x:v>1240</x:v>
      </x:c>
      <x:c r="D157" s="23" t="n">
        <x:v>2062</x:v>
      </x:c>
      <x:c r="E157" s="24" t="n">
        <x:v>1200</x:v>
      </x:c>
      <x:c r="F157" s="21" t="str">
        <x:v>OBSERVED</x:v>
      </x:c>
      <x:c r="G157" s="22" t="n">
        <x:v>45</x:v>
      </x:c>
      <x:c r="H157" s="21" t="str">
        <x:v>ACI_AUTORITRATTO_2024</x:v>
      </x:c>
      <x:c r="I157" s="21" t="str">
        <x:v>2024</x:v>
      </x:c>
      <x:c r="J157" s="21" t="str">
        <x:v>RAFVG_REGIONAL_TABLE_2023</x:v>
      </x:c>
      <x:c r="K157" s="21" t="str">
        <x:v>NOT_ZERO</x:v>
      </x:c>
      <x:c r="L157" s="21" t="str">
        <x:v>2023_Q4</x:v>
      </x:c>
    </x:row>
    <x:row r="158">
      <x:c r="A158" s="20" t="str">
        <x:v>031023</x:v>
      </x:c>
      <x:c r="B158" s="21" t="str">
        <x:v>Staranzano</x:v>
      </x:c>
      <x:c r="C158" s="22" t="n">
        <x:v>5114</x:v>
      </x:c>
      <x:c r="D158" s="23" t="n">
        <x:v>9888</x:v>
      </x:c>
      <x:c r="E158" s="24" t="n">
        <x:v>4655</x:v>
      </x:c>
      <x:c r="F158" s="21" t="str">
        <x:v>OBSERVED</x:v>
      </x:c>
      <x:c r="G158" s="22" t="n">
        <x:v>74</x:v>
      </x:c>
      <x:c r="H158" s="21" t="str">
        <x:v>ACI_AUTORITRATTO_2024</x:v>
      </x:c>
      <x:c r="I158" s="21" t="str">
        <x:v>2024</x:v>
      </x:c>
      <x:c r="J158" s="21" t="str">
        <x:v>RAFVG_REGIONAL_TABLE_2023</x:v>
      </x:c>
      <x:c r="K158" s="21" t="str">
        <x:v>NOT_ZERO</x:v>
      </x:c>
      <x:c r="L158" s="21" t="str">
        <x:v>2023_Q4</x:v>
      </x:c>
    </x:row>
    <x:row r="159">
      <x:c r="A159" s="20" t="str">
        <x:v>031024</x:v>
      </x:c>
      <x:c r="B159" s="21" t="str">
        <x:v>Turriaco</x:v>
      </x:c>
      <x:c r="C159" s="22" t="n">
        <x:v>2003</x:v>
      </x:c>
      <x:c r="D159" s="23" t="n">
        <x:v>280</x:v>
      </x:c>
      <x:c r="E159" s="24" t="n">
        <x:v>0</x:v>
      </x:c>
      <x:c r="F159" s="21" t="str">
        <x:v>OBSERVED</x:v>
      </x:c>
      <x:c r="G159" s="22" t="n">
        <x:v>26</x:v>
      </x:c>
      <x:c r="H159" s="21" t="str">
        <x:v>ACI_AUTORITRATTO_2024</x:v>
      </x:c>
      <x:c r="I159" s="21" t="str">
        <x:v>2024</x:v>
      </x:c>
      <x:c r="J159" s="21" t="str">
        <x:v>RAFVG_REGIONAL_TABLE_2023</x:v>
      </x:c>
      <x:c r="K159" s="21" t="str">
        <x:v>REGIONAL_TABLE</x:v>
      </x:c>
      <x:c r="L159" s="21" t="str">
        <x:v>2023_Q4</x:v>
      </x:c>
    </x:row>
    <x:row r="160">
      <x:c r="A160" s="20" t="str">
        <x:v>031025</x:v>
      </x:c>
      <x:c r="B160" s="21" t="str">
        <x:v>Villesse</x:v>
      </x:c>
      <x:c r="C160" s="22" t="n">
        <x:v>1231</x:v>
      </x:c>
      <x:c r="D160" s="23" t="n">
        <x:v>927</x:v>
      </x:c>
      <x:c r="E160" s="24" t="n">
        <x:v>55005.88</x:v>
      </x:c>
      <x:c r="F160" s="21" t="str">
        <x:v>OBSERVED</x:v>
      </x:c>
      <x:c r="G160" s="22" t="n">
        <x:v>67</x:v>
      </x:c>
      <x:c r="H160" s="21" t="str">
        <x:v>ACI_AUTORITRATTO_2024</x:v>
      </x:c>
      <x:c r="I160" s="21" t="str">
        <x:v>2024</x:v>
      </x:c>
      <x:c r="J160" s="21" t="str">
        <x:v>RAFVG_REGIONAL_TABLE_2023</x:v>
      </x:c>
      <x:c r="K160" s="21" t="str">
        <x:v>NOT_ZERO</x:v>
      </x:c>
      <x:c r="L160" s="21" t="str">
        <x:v>2023_Q4</x:v>
      </x:c>
    </x:row>
    <x:row r="161">
      <x:c r="A161" s="20" t="str">
        <x:v>032001</x:v>
      </x:c>
      <x:c r="B161" s="21" t="str">
        <x:v>Duino Aurisina-Devin Nabrežina</x:v>
      </x:c>
      <x:c r="C161" s="22" t="n">
        <x:v>5893</x:v>
      </x:c>
      <x:c r="D161" s="23" t="n">
        <x:v>153877</x:v>
      </x:c>
      <x:c r="E161" s="24" t="n">
        <x:v>5394</x:v>
      </x:c>
      <x:c r="F161" s="21" t="str">
        <x:v>OBSERVED</x:v>
      </x:c>
      <x:c r="G161" s="22" t="n">
        <x:v>2915</x:v>
      </x:c>
      <x:c r="H161" s="21" t="str">
        <x:v>ACI_AUTORITRATTO_2024</x:v>
      </x:c>
      <x:c r="I161" s="21" t="str">
        <x:v>2024</x:v>
      </x:c>
      <x:c r="J161" s="21" t="str">
        <x:v>RAFVG_REGIONAL_TABLE_2023</x:v>
      </x:c>
      <x:c r="K161" s="21" t="str">
        <x:v>NOT_ZERO</x:v>
      </x:c>
      <x:c r="L161" s="21" t="str">
        <x:v>2023_Q4</x:v>
      </x:c>
    </x:row>
    <x:row r="162">
      <x:c r="A162" s="20" t="str">
        <x:v>032002</x:v>
      </x:c>
      <x:c r="B162" s="21" t="str">
        <x:v>Monrupino-Repentabor</x:v>
      </x:c>
      <x:c r="C162" s="22" t="n">
        <x:v>705</x:v>
      </x:c>
      <x:c r="D162" s="23" t="n">
        <x:v>5574</x:v>
      </x:c>
      <x:c r="E162" s="24" t="n">
        <x:v>0</x:v>
      </x:c>
      <x:c r="F162" s="21" t="str">
        <x:v>OBSERVED</x:v>
      </x:c>
      <x:c r="G162" s="22" t="n">
        <x:v>303</x:v>
      </x:c>
      <x:c r="H162" s="21" t="str">
        <x:v>ACI_AUTORITRATTO_2024</x:v>
      </x:c>
      <x:c r="I162" s="21" t="str">
        <x:v>2024</x:v>
      </x:c>
      <x:c r="J162" s="21" t="str">
        <x:v>RAFVG_REGIONAL_TABLE_2023</x:v>
      </x:c>
      <x:c r="K162" s="21" t="str">
        <x:v>REGIONAL_TABLE</x:v>
      </x:c>
      <x:c r="L162" s="21" t="str">
        <x:v>2023_Q4</x:v>
      </x:c>
    </x:row>
    <x:row r="163">
      <x:c r="A163" s="20" t="str">
        <x:v>032003</x:v>
      </x:c>
      <x:c r="B163" s="21" t="str">
        <x:v>Muggia</x:v>
      </x:c>
      <x:c r="C163" s="22" t="n">
        <x:v>8969</x:v>
      </x:c>
      <x:c r="D163" s="23" t="n">
        <x:v>67769</x:v>
      </x:c>
      <x:c r="E163" s="24" t="n">
        <x:v>50655</x:v>
      </x:c>
      <x:c r="F163" s="21" t="str">
        <x:v>OBSERVED</x:v>
      </x:c>
      <x:c r="G163" s="22" t="n">
        <x:v>1481</x:v>
      </x:c>
      <x:c r="H163" s="21" t="str">
        <x:v>ACI_AUTORITRATTO_2024</x:v>
      </x:c>
      <x:c r="I163" s="21" t="str">
        <x:v>2024</x:v>
      </x:c>
      <x:c r="J163" s="21" t="str">
        <x:v>RAFVG_REGIONAL_TABLE_2023</x:v>
      </x:c>
      <x:c r="K163" s="21" t="str">
        <x:v>NOT_ZERO</x:v>
      </x:c>
      <x:c r="L163" s="21" t="str">
        <x:v>2023_Q4</x:v>
      </x:c>
    </x:row>
    <x:row r="164">
      <x:c r="A164" s="20" t="str">
        <x:v>032004</x:v>
      </x:c>
      <x:c r="B164" s="21" t="str">
        <x:v>San Dorligo della Valle-Dolina</x:v>
      </x:c>
      <x:c r="C164" s="22" t="n">
        <x:v>4284</x:v>
      </x:c>
      <x:c r="D164" s="23" t="n">
        <x:v>132123</x:v>
      </x:c>
      <x:c r="E164" s="24" t="n">
        <x:v>805</x:v>
      </x:c>
      <x:c r="F164" s="21" t="str">
        <x:v>OBSERVED</x:v>
      </x:c>
      <x:c r="G164" s="22" t="n">
        <x:v>550</x:v>
      </x:c>
      <x:c r="H164" s="21" t="str">
        <x:v>ACI_AUTORITRATTO_2024</x:v>
      </x:c>
      <x:c r="I164" s="21" t="str">
        <x:v>2024</x:v>
      </x:c>
      <x:c r="J164" s="21" t="str">
        <x:v>RAFVG_REGIONAL_TABLE_2023</x:v>
      </x:c>
      <x:c r="K164" s="21" t="str">
        <x:v>NOT_ZERO</x:v>
      </x:c>
      <x:c r="L164" s="21" t="str">
        <x:v>2023_Q4</x:v>
      </x:c>
    </x:row>
    <x:row r="165">
      <x:c r="A165" s="20" t="str">
        <x:v>032005</x:v>
      </x:c>
      <x:c r="B165" s="21" t="str">
        <x:v>Sgonico-Zgonik</x:v>
      </x:c>
      <x:c r="C165" s="22" t="n">
        <x:v>1560</x:v>
      </x:c>
      <x:c r="D165" s="23" t="n">
        <x:v>2810</x:v>
      </x:c>
      <x:c r="E165" s="24" t="n">
        <x:v>2180</x:v>
      </x:c>
      <x:c r="F165" s="21" t="str">
        <x:v>OBSERVED</x:v>
      </x:c>
      <x:c r="G165" s="22" t="n">
        <x:v>116</x:v>
      </x:c>
      <x:c r="H165" s="21" t="str">
        <x:v>ACI_AUTORITRATTO_2024</x:v>
      </x:c>
      <x:c r="I165" s="21" t="str">
        <x:v>2024</x:v>
      </x:c>
      <x:c r="J165" s="21" t="str">
        <x:v>RAFVG_REGIONAL_TABLE_2023</x:v>
      </x:c>
      <x:c r="K165" s="21" t="str">
        <x:v>NOT_ZERO</x:v>
      </x:c>
      <x:c r="L165" s="21" t="str">
        <x:v>2023_Q4</x:v>
      </x:c>
    </x:row>
    <x:row r="166">
      <x:c r="A166" s="20" t="str">
        <x:v>032006</x:v>
      </x:c>
      <x:c r="B166" s="21" t="str">
        <x:v>Trieste</x:v>
      </x:c>
      <x:c r="C166" s="22" t="n">
        <x:v>110689</x:v>
      </x:c>
      <x:c r="D166" s="23" t="n">
        <x:v>1391122</x:v>
      </x:c>
      <x:c r="E166" s="24" t="n">
        <x:v>127039.28</x:v>
      </x:c>
      <x:c r="F166" s="21" t="str">
        <x:v>OBSERVED</x:v>
      </x:c>
      <x:c r="G166" s="22" t="n">
        <x:v>12428</x:v>
      </x:c>
      <x:c r="H166" s="21" t="str">
        <x:v>ACI_AUTORITRATTO_2024</x:v>
      </x:c>
      <x:c r="I166" s="21" t="str">
        <x:v>2024</x:v>
      </x:c>
      <x:c r="J166" s="21" t="str">
        <x:v>RAFVG_REGIONAL_TABLE_2023</x:v>
      </x:c>
      <x:c r="K166" s="21" t="str">
        <x:v>NOT_ZERO</x:v>
      </x:c>
      <x:c r="L166" s="21" t="str">
        <x:v>2023_Q4_SELECTED_CATEGORIES</x:v>
      </x:c>
    </x:row>
    <x:row r="167">
      <x:c r="A167" s="20" t="str">
        <x:v>093001</x:v>
      </x:c>
      <x:c r="B167" s="21" t="str">
        <x:v>Andreis</x:v>
      </x:c>
      <x:c r="C167" s="22" t="n">
        <x:v>161</x:v>
      </x:c>
      <x:c r="D167" s="23" t="n">
        <x:v>375</x:v>
      </x:c>
      <x:c r="E167" s="24" t="n">
        <x:v>0</x:v>
      </x:c>
      <x:c r="F167" s="21" t="str">
        <x:v>OBSERVED</x:v>
      </x:c>
      <x:c r="G167" s="22" t="n">
        <x:v>68</x:v>
      </x:c>
      <x:c r="H167" s="21" t="str">
        <x:v>ACI_AUTORITRATTO_2024</x:v>
      </x:c>
      <x:c r="I167" s="21" t="str">
        <x:v>2024</x:v>
      </x:c>
      <x:c r="J167" s="21" t="str">
        <x:v>RAFVG_REGIONAL_TABLE_2023</x:v>
      </x:c>
      <x:c r="K167" s="21" t="str">
        <x:v>REGIONAL_TABLE</x:v>
      </x:c>
      <x:c r="L167" s="21" t="str">
        <x:v>2023_Q4</x:v>
      </x:c>
    </x:row>
    <x:row r="168">
      <x:c r="A168" s="20" t="str">
        <x:v>093002</x:v>
      </x:c>
      <x:c r="B168" s="21" t="str">
        <x:v>Arba</x:v>
      </x:c>
      <x:c r="C168" s="22" t="n">
        <x:v>976</x:v>
      </x:c>
      <x:c r="D168" s="23" t="n">
        <x:v>1224</x:v>
      </x:c>
      <x:c r="E168" s="24" t="n">
        <x:v>0</x:v>
      </x:c>
      <x:c r="F168" s="21" t="str">
        <x:v>OBSERVED</x:v>
      </x:c>
      <x:c r="G168" s="22" t="n">
        <x:v>50</x:v>
      </x:c>
      <x:c r="H168" s="21" t="str">
        <x:v>ACI_AUTORITRATTO_2024</x:v>
      </x:c>
      <x:c r="I168" s="21" t="str">
        <x:v>2024</x:v>
      </x:c>
      <x:c r="J168" s="21" t="str">
        <x:v>RAFVG_REGIONAL_TABLE_2023</x:v>
      </x:c>
      <x:c r="K168" s="21" t="str">
        <x:v>REGIONAL_TABLE</x:v>
      </x:c>
      <x:c r="L168" s="21" t="str">
        <x:v>2023_Q4</x:v>
      </x:c>
    </x:row>
    <x:row r="169">
      <x:c r="A169" s="20" t="str">
        <x:v>093004</x:v>
      </x:c>
      <x:c r="B169" s="21" t="str">
        <x:v>Aviano</x:v>
      </x:c>
      <x:c r="C169" s="22" t="n">
        <x:v>7138</x:v>
      </x:c>
      <x:c r="D169" s="23" t="n">
        <x:v>100886</x:v>
      </x:c>
      <x:c r="E169" s="24" t="n">
        <x:v>7991</x:v>
      </x:c>
      <x:c r="F169" s="21" t="str">
        <x:v>OBSERVED</x:v>
      </x:c>
      <x:c r="G169" s="22" t="n">
        <x:v>1415</x:v>
      </x:c>
      <x:c r="H169" s="21" t="str">
        <x:v>ACI_AUTORITRATTO_2024</x:v>
      </x:c>
      <x:c r="I169" s="21" t="str">
        <x:v>2024</x:v>
      </x:c>
      <x:c r="J169" s="21" t="str">
        <x:v>RAFVG_REGIONAL_TABLE_2023</x:v>
      </x:c>
      <x:c r="K169" s="21" t="str">
        <x:v>NOT_ZERO</x:v>
      </x:c>
      <x:c r="L169" s="21" t="str">
        <x:v>2023_Q4</x:v>
      </x:c>
    </x:row>
    <x:row r="170">
      <x:c r="A170" s="20" t="str">
        <x:v>093005</x:v>
      </x:c>
      <x:c r="B170" s="21" t="str">
        <x:v>Azzano Decimo</x:v>
      </x:c>
      <x:c r="C170" s="22" t="n">
        <x:v>10894</x:v>
      </x:c>
      <x:c r="D170" s="23" t="n">
        <x:v>677</x:v>
      </x:c>
      <x:c r="E170" s="24" t="n">
        <x:v>8516.28</x:v>
      </x:c>
      <x:c r="F170" s="21" t="str">
        <x:v>OBSERVED</x:v>
      </x:c>
      <x:c r="G170" s="22" t="n">
        <x:v>78</x:v>
      </x:c>
      <x:c r="H170" s="21" t="str">
        <x:v>ACI_AUTORITRATTO_2024</x:v>
      </x:c>
      <x:c r="I170" s="21" t="str">
        <x:v>2024</x:v>
      </x:c>
      <x:c r="J170" s="21" t="str">
        <x:v>RAFVG_REGIONAL_TABLE_2023</x:v>
      </x:c>
      <x:c r="K170" s="21" t="str">
        <x:v>NOT_ZERO</x:v>
      </x:c>
      <x:c r="L170" s="21" t="str">
        <x:v>2023_Q4</x:v>
      </x:c>
    </x:row>
    <x:row r="171">
      <x:c r="A171" s="20" t="str">
        <x:v>093006</x:v>
      </x:c>
      <x:c r="B171" s="21" t="str">
        <x:v>Barcis</x:v>
      </x:c>
      <x:c r="C171" s="22" t="n">
        <x:v>161</x:v>
      </x:c>
      <x:c r="D171" s="23" t="n">
        <x:v>28162</x:v>
      </x:c>
      <x:c r="E171" s="24" t="n">
        <x:v>0</x:v>
      </x:c>
      <x:c r="F171" s="21" t="str">
        <x:v>OBSERVED</x:v>
      </x:c>
      <x:c r="G171" s="22" t="n">
        <x:v>484</x:v>
      </x:c>
      <x:c r="H171" s="21" t="str">
        <x:v>ACI_AUTORITRATTO_2024</x:v>
      </x:c>
      <x:c r="I171" s="21" t="str">
        <x:v>2024</x:v>
      </x:c>
      <x:c r="J171" s="21" t="str">
        <x:v>RAFVG_REGIONAL_TABLE_2023</x:v>
      </x:c>
      <x:c r="K171" s="21" t="str">
        <x:v>REGIONAL_TABLE</x:v>
      </x:c>
      <x:c r="L171" s="21" t="str">
        <x:v>2023_Q4</x:v>
      </x:c>
    </x:row>
    <x:row r="172">
      <x:c r="A172" s="20" t="str">
        <x:v>093007</x:v>
      </x:c>
      <x:c r="B172" s="21" t="str">
        <x:v>Brugnera</x:v>
      </x:c>
      <x:c r="C172" s="22" t="n">
        <x:v>6532</x:v>
      </x:c>
      <x:c r="D172" s="23" t="n">
        <x:v>6159</x:v>
      </x:c>
      <x:c r="E172" s="24" t="n">
        <x:v>6185</x:v>
      </x:c>
      <x:c r="F172" s="21" t="str">
        <x:v>OBSERVED</x:v>
      </x:c>
      <x:c r="G172" s="22" t="n">
        <x:v>137</x:v>
      </x:c>
      <x:c r="H172" s="21" t="str">
        <x:v>ACI_AUTORITRATTO_2024</x:v>
      </x:c>
      <x:c r="I172" s="21" t="str">
        <x:v>2024</x:v>
      </x:c>
      <x:c r="J172" s="21" t="str">
        <x:v>RAFVG_REGIONAL_TABLE_2023</x:v>
      </x:c>
      <x:c r="K172" s="21" t="str">
        <x:v>NOT_ZERO</x:v>
      </x:c>
      <x:c r="L172" s="21" t="str">
        <x:v>2023_Q4</x:v>
      </x:c>
    </x:row>
    <x:row r="173">
      <x:c r="A173" s="20" t="str">
        <x:v>093008</x:v>
      </x:c>
      <x:c r="B173" s="21" t="str">
        <x:v>Budoia</x:v>
      </x:c>
      <x:c r="C173" s="22" t="n">
        <x:v>1814</x:v>
      </x:c>
      <x:c r="D173" s="23" t="n">
        <x:v>16463</x:v>
      </x:c>
      <x:c r="E173" s="24" t="n">
        <x:v>1500</x:v>
      </x:c>
      <x:c r="F173" s="21" t="str">
        <x:v>OBSERVED</x:v>
      </x:c>
      <x:c r="G173" s="22" t="n">
        <x:v>131</x:v>
      </x:c>
      <x:c r="H173" s="21" t="str">
        <x:v>ACI_AUTORITRATTO_2024</x:v>
      </x:c>
      <x:c r="I173" s="21" t="str">
        <x:v>2024</x:v>
      </x:c>
      <x:c r="J173" s="21" t="str">
        <x:v>RAFVG_REGIONAL_TABLE_2023</x:v>
      </x:c>
      <x:c r="K173" s="21" t="str">
        <x:v>NOT_ZERO</x:v>
      </x:c>
      <x:c r="L173" s="21" t="str">
        <x:v>2023_Q4</x:v>
      </x:c>
    </x:row>
    <x:row r="174">
      <x:c r="A174" s="20" t="str">
        <x:v>093009</x:v>
      </x:c>
      <x:c r="B174" s="21" t="str">
        <x:v>Caneva</x:v>
      </x:c>
      <x:c r="C174" s="22" t="n">
        <x:v>4455</x:v>
      </x:c>
      <x:c r="D174" s="23" t="n">
        <x:v>4729</x:v>
      </x:c>
      <x:c r="E174" s="24" t="n">
        <x:v>0</x:v>
      </x:c>
      <x:c r="F174" s="21" t="str">
        <x:v>OBSERVED</x:v>
      </x:c>
      <x:c r="G174" s="22" t="n">
        <x:v>106</x:v>
      </x:c>
      <x:c r="H174" s="21" t="str">
        <x:v>ACI_AUTORITRATTO_2024</x:v>
      </x:c>
      <x:c r="I174" s="21" t="str">
        <x:v>2024</x:v>
      </x:c>
      <x:c r="J174" s="21" t="str">
        <x:v>RAFVG_REGIONAL_TABLE_2023</x:v>
      </x:c>
      <x:c r="K174" s="21" t="str">
        <x:v>REGIONAL_TABLE</x:v>
      </x:c>
      <x:c r="L174" s="21" t="str">
        <x:v>2023_Q4</x:v>
      </x:c>
    </x:row>
    <x:row r="175">
      <x:c r="A175" s="20" t="str">
        <x:v>093010</x:v>
      </x:c>
      <x:c r="B175" s="21" t="str">
        <x:v>Casarsa della Delizia</x:v>
      </x:c>
      <x:c r="C175" s="22" t="n">
        <x:v>5814</x:v>
      </x:c>
      <x:c r="D175" s="23" t="n">
        <x:v>22038</x:v>
      </x:c>
      <x:c r="E175" s="24" t="n">
        <x:v>6396.5</x:v>
      </x:c>
      <x:c r="F175" s="21" t="str">
        <x:v>OBSERVED</x:v>
      </x:c>
      <x:c r="G175" s="22" t="n">
        <x:v>172</x:v>
      </x:c>
      <x:c r="H175" s="21" t="str">
        <x:v>ACI_AUTORITRATTO_2024</x:v>
      </x:c>
      <x:c r="I175" s="21" t="str">
        <x:v>2024</x:v>
      </x:c>
      <x:c r="J175" s="21" t="str">
        <x:v>RAFVG_REGIONAL_TABLE_2023</x:v>
      </x:c>
      <x:c r="K175" s="21" t="str">
        <x:v>NOT_ZERO</x:v>
      </x:c>
      <x:c r="L175" s="21" t="str">
        <x:v>2023_Q4</x:v>
      </x:c>
    </x:row>
    <x:row r="176">
      <x:c r="A176" s="20" t="str">
        <x:v>093011</x:v>
      </x:c>
      <x:c r="B176" s="21" t="str">
        <x:v>Castelnovo del Friuli</x:v>
      </x:c>
      <x:c r="C176" s="22" t="n">
        <x:v>666</x:v>
      </x:c>
      <x:c r="D176" s="23" t="n">
        <x:v>459.08474576271186</x:v>
      </x:c>
      <x:c r="E176" s="24" t="n">
        <x:v>0</x:v>
      </x:c>
      <x:c r="F176" s="21" t="str">
        <x:v>IMPUTED_BEDS_RESIDUAL</x:v>
      </x:c>
      <x:c r="G176" s="22" t="n">
        <x:v>29</x:v>
      </x:c>
      <x:c r="H176" s="21" t="str">
        <x:v>ACI_AUTORITRATTO_2024</x:v>
      </x:c>
      <x:c r="I176" s="21" t="str">
        <x:v>2024</x:v>
      </x:c>
      <x:c r="J176" s="21" t="str">
        <x:v>RAFVG_REGIONAL_TABLE_2023</x:v>
      </x:c>
      <x:c r="K176" s="21" t="str">
        <x:v>REGIONAL_TABLE</x:v>
      </x:c>
      <x:c r="L176" s="21" t="str">
        <x:v>2023_Q4</x:v>
      </x:c>
    </x:row>
    <x:row r="177">
      <x:c r="A177" s="20" t="str">
        <x:v>093012</x:v>
      </x:c>
      <x:c r="B177" s="21" t="str">
        <x:v>Cavasso Nuovo</x:v>
      </x:c>
      <x:c r="C177" s="22" t="n">
        <x:v>1066</x:v>
      </x:c>
      <x:c r="D177" s="23" t="n">
        <x:v>746</x:v>
      </x:c>
      <x:c r="E177" s="24" t="n">
        <x:v>0</x:v>
      </x:c>
      <x:c r="F177" s="21" t="str">
        <x:v>OBSERVED</x:v>
      </x:c>
      <x:c r="G177" s="22" t="n">
        <x:v>20</x:v>
      </x:c>
      <x:c r="H177" s="21" t="str">
        <x:v>ACI_AUTORITRATTO_2024</x:v>
      </x:c>
      <x:c r="I177" s="21" t="str">
        <x:v>2024</x:v>
      </x:c>
      <x:c r="J177" s="21" t="str">
        <x:v>RAFVG_REGIONAL_TABLE_2023</x:v>
      </x:c>
      <x:c r="K177" s="21" t="str">
        <x:v>REGIONAL_TABLE</x:v>
      </x:c>
      <x:c r="L177" s="21" t="str">
        <x:v>2023_Q4</x:v>
      </x:c>
    </x:row>
    <x:row r="178">
      <x:c r="A178" s="20" t="str">
        <x:v>093013</x:v>
      </x:c>
      <x:c r="B178" s="21" t="str">
        <x:v>Chions</x:v>
      </x:c>
      <x:c r="C178" s="22" t="n">
        <x:v>3618</x:v>
      </x:c>
      <x:c r="D178" s="23" t="n">
        <x:v>3392</x:v>
      </x:c>
      <x:c r="E178" s="24" t="n">
        <x:v>2230</x:v>
      </x:c>
      <x:c r="F178" s="21" t="str">
        <x:v>OBSERVED</x:v>
      </x:c>
      <x:c r="G178" s="22" t="n">
        <x:v>44</x:v>
      </x:c>
      <x:c r="H178" s="21" t="str">
        <x:v>ACI_AUTORITRATTO_2024</x:v>
      </x:c>
      <x:c r="I178" s="21" t="str">
        <x:v>2024</x:v>
      </x:c>
      <x:c r="J178" s="21" t="str">
        <x:v>RAFVG_REGIONAL_TABLE_2023</x:v>
      </x:c>
      <x:c r="K178" s="21" t="str">
        <x:v>NOT_ZERO</x:v>
      </x:c>
      <x:c r="L178" s="21" t="str">
        <x:v>2023_Q4</x:v>
      </x:c>
    </x:row>
    <x:row r="179">
      <x:c r="A179" s="20" t="str">
        <x:v>093014</x:v>
      </x:c>
      <x:c r="B179" s="21" t="str">
        <x:v>Cimolais</x:v>
      </x:c>
      <x:c r="C179" s="22" t="n">
        <x:v>226</x:v>
      </x:c>
      <x:c r="D179" s="23" t="n">
        <x:v>3845</x:v>
      </x:c>
      <x:c r="E179" s="24" t="n">
        <x:v>0</x:v>
      </x:c>
      <x:c r="F179" s="21" t="str">
        <x:v>OBSERVED</x:v>
      </x:c>
      <x:c r="G179" s="22" t="n">
        <x:v>237</x:v>
      </x:c>
      <x:c r="H179" s="21" t="str">
        <x:v>ACI_AUTORITRATTO_2024</x:v>
      </x:c>
      <x:c r="I179" s="21" t="str">
        <x:v>2024</x:v>
      </x:c>
      <x:c r="J179" s="21" t="str">
        <x:v>RAFVG_REGIONAL_TABLE_2023</x:v>
      </x:c>
      <x:c r="K179" s="21" t="str">
        <x:v>REGIONAL_TABLE</x:v>
      </x:c>
      <x:c r="L179" s="21" t="str">
        <x:v>2023_Q4</x:v>
      </x:c>
    </x:row>
    <x:row r="180">
      <x:c r="A180" s="20" t="str">
        <x:v>093015</x:v>
      </x:c>
      <x:c r="B180" s="21" t="str">
        <x:v>Claut</x:v>
      </x:c>
      <x:c r="C180" s="22" t="n">
        <x:v>561</x:v>
      </x:c>
      <x:c r="D180" s="23" t="n">
        <x:v>6592</x:v>
      </x:c>
      <x:c r="E180" s="24" t="n">
        <x:v>0</x:v>
      </x:c>
      <x:c r="F180" s="21" t="str">
        <x:v>OBSERVED</x:v>
      </x:c>
      <x:c r="G180" s="22" t="n">
        <x:v>274</x:v>
      </x:c>
      <x:c r="H180" s="21" t="str">
        <x:v>ACI_AUTORITRATTO_2024</x:v>
      </x:c>
      <x:c r="I180" s="21" t="str">
        <x:v>2024</x:v>
      </x:c>
      <x:c r="J180" s="21" t="str">
        <x:v>RAFVG_REGIONAL_TABLE_2023</x:v>
      </x:c>
      <x:c r="K180" s="21" t="str">
        <x:v>REGIONAL_TABLE</x:v>
      </x:c>
      <x:c r="L180" s="21" t="str">
        <x:v>2022_Q3</x:v>
      </x:c>
    </x:row>
    <x:row r="181">
      <x:c r="A181" s="20" t="str">
        <x:v>093016</x:v>
      </x:c>
      <x:c r="B181" s="21" t="str">
        <x:v>Clauzetto</x:v>
      </x:c>
      <x:c r="C181" s="22" t="n">
        <x:v>310</x:v>
      </x:c>
      <x:c r="D181" s="23" t="n">
        <x:v>1074</x:v>
      </x:c>
      <x:c r="E181" s="24" t="n">
        <x:v>0</x:v>
      </x:c>
      <x:c r="F181" s="21" t="str">
        <x:v>OBSERVED</x:v>
      </x:c>
      <x:c r="G181" s="22" t="n">
        <x:v>165</x:v>
      </x:c>
      <x:c r="H181" s="21" t="str">
        <x:v>ACI_AUTORITRATTO_2024</x:v>
      </x:c>
      <x:c r="I181" s="21" t="str">
        <x:v>2024</x:v>
      </x:c>
      <x:c r="J181" s="21" t="str">
        <x:v>RAFVG_REGIONAL_TABLE_2023</x:v>
      </x:c>
      <x:c r="K181" s="21" t="str">
        <x:v>REGIONAL_TABLE</x:v>
      </x:c>
      <x:c r="L181" s="21" t="str">
        <x:v>2023_Q4</x:v>
      </x:c>
    </x:row>
    <x:row r="182">
      <x:c r="A182" s="20" t="str">
        <x:v>093017</x:v>
      </x:c>
      <x:c r="B182" s="21" t="str">
        <x:v>Cordenons</x:v>
      </x:c>
      <x:c r="C182" s="22" t="n">
        <x:v>12845</x:v>
      </x:c>
      <x:c r="D182" s="23" t="n">
        <x:v>20934</x:v>
      </x:c>
      <x:c r="E182" s="24" t="n">
        <x:v>8715</x:v>
      </x:c>
      <x:c r="F182" s="21" t="str">
        <x:v>OBSERVED</x:v>
      </x:c>
      <x:c r="G182" s="22" t="n">
        <x:v>154</x:v>
      </x:c>
      <x:c r="H182" s="21" t="str">
        <x:v>ACI_AUTORITRATTO_2024</x:v>
      </x:c>
      <x:c r="I182" s="21" t="str">
        <x:v>2024</x:v>
      </x:c>
      <x:c r="J182" s="21" t="str">
        <x:v>RAFVG_REGIONAL_TABLE_2023</x:v>
      </x:c>
      <x:c r="K182" s="21" t="str">
        <x:v>NOT_ZERO</x:v>
      </x:c>
      <x:c r="L182" s="21" t="str">
        <x:v>2023_Q4</x:v>
      </x:c>
    </x:row>
    <x:row r="183">
      <x:c r="A183" s="20" t="str">
        <x:v>093018</x:v>
      </x:c>
      <x:c r="B183" s="21" t="str">
        <x:v>Cordovado</x:v>
      </x:c>
      <x:c r="C183" s="22" t="n">
        <x:v>1907</x:v>
      </x:c>
      <x:c r="D183" s="23" t="n">
        <x:v>506.5762711864407</x:v>
      </x:c>
      <x:c r="E183" s="24" t="n">
        <x:v>2276.5</x:v>
      </x:c>
      <x:c r="F183" s="21" t="str">
        <x:v>IMPUTED_BEDS_RESIDUAL</x:v>
      </x:c>
      <x:c r="G183" s="22" t="n">
        <x:v>32</x:v>
      </x:c>
      <x:c r="H183" s="21" t="str">
        <x:v>ACI_AUTORITRATTO_2024</x:v>
      </x:c>
      <x:c r="I183" s="21" t="str">
        <x:v>2024</x:v>
      </x:c>
      <x:c r="J183" s="21" t="str">
        <x:v>RAFVG_REGIONAL_TABLE_2023</x:v>
      </x:c>
      <x:c r="K183" s="21" t="str">
        <x:v>NOT_ZERO</x:v>
      </x:c>
      <x:c r="L183" s="21" t="str">
        <x:v>2023_Q4</x:v>
      </x:c>
    </x:row>
    <x:row r="184">
      <x:c r="A184" s="20" t="str">
        <x:v>093019</x:v>
      </x:c>
      <x:c r="B184" s="21" t="str">
        <x:v>Erto e Casso</x:v>
      </x:c>
      <x:c r="C184" s="22" t="n">
        <x:v>285</x:v>
      </x:c>
      <x:c r="D184" s="23" t="n">
        <x:v>162</x:v>
      </x:c>
      <x:c r="E184" s="24" t="n">
        <x:v>0</x:v>
      </x:c>
      <x:c r="F184" s="21" t="str">
        <x:v>OBSERVED</x:v>
      </x:c>
      <x:c r="G184" s="22" t="n">
        <x:v>174</x:v>
      </x:c>
      <x:c r="H184" s="21" t="str">
        <x:v>ACI_AUTORITRATTO_2024</x:v>
      </x:c>
      <x:c r="I184" s="21" t="str">
        <x:v>2024</x:v>
      </x:c>
      <x:c r="J184" s="21" t="str">
        <x:v>RAFVG_REGIONAL_TABLE_2023</x:v>
      </x:c>
      <x:c r="K184" s="21" t="str">
        <x:v>REGIONAL_TABLE</x:v>
      </x:c>
      <x:c r="L184" s="21" t="str">
        <x:v>2023_Q4</x:v>
      </x:c>
    </x:row>
    <x:row r="185">
      <x:c r="A185" s="20" t="str">
        <x:v>093020</x:v>
      </x:c>
      <x:c r="B185" s="21" t="str">
        <x:v>Fanna</x:v>
      </x:c>
      <x:c r="C185" s="22" t="n">
        <x:v>1060</x:v>
      </x:c>
      <x:c r="D185" s="23" t="n">
        <x:v>1756</x:v>
      </x:c>
      <x:c r="E185" s="24" t="n">
        <x:v>0</x:v>
      </x:c>
      <x:c r="F185" s="21" t="str">
        <x:v>OBSERVED</x:v>
      </x:c>
      <x:c r="G185" s="22" t="n">
        <x:v>57</x:v>
      </x:c>
      <x:c r="H185" s="21" t="str">
        <x:v>ACI_AUTORITRATTO_2024</x:v>
      </x:c>
      <x:c r="I185" s="21" t="str">
        <x:v>2024</x:v>
      </x:c>
      <x:c r="J185" s="21" t="str">
        <x:v>RAFVG_REGIONAL_TABLE_2023</x:v>
      </x:c>
      <x:c r="K185" s="21" t="str">
        <x:v>REGIONAL_TABLE</x:v>
      </x:c>
      <x:c r="L185" s="21" t="str">
        <x:v>2023_Q4</x:v>
      </x:c>
    </x:row>
    <x:row r="186">
      <x:c r="A186" s="20" t="str">
        <x:v>093021</x:v>
      </x:c>
      <x:c r="B186" s="21" t="str">
        <x:v>Fiume Veneto</x:v>
      </x:c>
      <x:c r="C186" s="22" t="n">
        <x:v>9369</x:v>
      </x:c>
      <x:c r="D186" s="23" t="n">
        <x:v>8876</x:v>
      </x:c>
      <x:c r="E186" s="24" t="n">
        <x:v>46924.83</x:v>
      </x:c>
      <x:c r="F186" s="21" t="str">
        <x:v>OBSERVED</x:v>
      </x:c>
      <x:c r="G186" s="22" t="n">
        <x:v>214</x:v>
      </x:c>
      <x:c r="H186" s="21" t="str">
        <x:v>ACI_AUTORITRATTO_2024</x:v>
      </x:c>
      <x:c r="I186" s="21" t="str">
        <x:v>2024</x:v>
      </x:c>
      <x:c r="J186" s="21" t="str">
        <x:v>RAFVG_REGIONAL_TABLE_2023</x:v>
      </x:c>
      <x:c r="K186" s="21" t="str">
        <x:v>NOT_ZERO</x:v>
      </x:c>
      <x:c r="L186" s="21" t="str">
        <x:v>2023_Q4</x:v>
      </x:c>
    </x:row>
    <x:row r="187">
      <x:c r="A187" s="20" t="str">
        <x:v>093022</x:v>
      </x:c>
      <x:c r="B187" s="21" t="str">
        <x:v>Fontanafredda</x:v>
      </x:c>
      <x:c r="C187" s="22" t="n">
        <x:v>9293</x:v>
      </x:c>
      <x:c r="D187" s="23" t="n">
        <x:v>19637</x:v>
      </x:c>
      <x:c r="E187" s="24" t="n">
        <x:v>6483.63</x:v>
      </x:c>
      <x:c r="F187" s="21" t="str">
        <x:v>OBSERVED</x:v>
      </x:c>
      <x:c r="G187" s="22" t="n">
        <x:v>272</x:v>
      </x:c>
      <x:c r="H187" s="21" t="str">
        <x:v>ACI_AUTORITRATTO_2024</x:v>
      </x:c>
      <x:c r="I187" s="21" t="str">
        <x:v>2024</x:v>
      </x:c>
      <x:c r="J187" s="21" t="str">
        <x:v>RAFVG_REGIONAL_TABLE_2023</x:v>
      </x:c>
      <x:c r="K187" s="21" t="str">
        <x:v>NOT_ZERO</x:v>
      </x:c>
      <x:c r="L187" s="21" t="str">
        <x:v>2023_Q4</x:v>
      </x:c>
    </x:row>
    <x:row r="188">
      <x:c r="A188" s="20" t="str">
        <x:v>093024</x:v>
      </x:c>
      <x:c r="B188" s="21" t="str">
        <x:v>Frisanco</x:v>
      </x:c>
      <x:c r="C188" s="22" t="n">
        <x:v>469</x:v>
      </x:c>
      <x:c r="D188" s="23" t="n">
        <x:v>415</x:v>
      </x:c>
      <x:c r="E188" s="24" t="n">
        <x:v>0</x:v>
      </x:c>
      <x:c r="F188" s="21" t="str">
        <x:v>OBSERVED</x:v>
      </x:c>
      <x:c r="G188" s="22" t="n">
        <x:v>121</x:v>
      </x:c>
      <x:c r="H188" s="21" t="str">
        <x:v>ACI_AUTORITRATTO_2024</x:v>
      </x:c>
      <x:c r="I188" s="21" t="str">
        <x:v>2024</x:v>
      </x:c>
      <x:c r="J188" s="21" t="str">
        <x:v>RAFVG_REGIONAL_TABLE_2023</x:v>
      </x:c>
      <x:c r="K188" s="21" t="str">
        <x:v>REGIONAL_TABLE</x:v>
      </x:c>
      <x:c r="L188" s="21" t="str">
        <x:v>2023_Q4</x:v>
      </x:c>
    </x:row>
    <x:row r="189">
      <x:c r="A189" s="20" t="str">
        <x:v>093025</x:v>
      </x:c>
      <x:c r="B189" s="21" t="str">
        <x:v>Maniago</x:v>
      </x:c>
      <x:c r="C189" s="22" t="n">
        <x:v>8166</x:v>
      </x:c>
      <x:c r="D189" s="23" t="n">
        <x:v>8047</x:v>
      </x:c>
      <x:c r="E189" s="24" t="n">
        <x:v>8321.5</x:v>
      </x:c>
      <x:c r="F189" s="21" t="str">
        <x:v>OBSERVED</x:v>
      </x:c>
      <x:c r="G189" s="22" t="n">
        <x:v>163</x:v>
      </x:c>
      <x:c r="H189" s="21" t="str">
        <x:v>ACI_AUTORITRATTO_2024</x:v>
      </x:c>
      <x:c r="I189" s="21" t="str">
        <x:v>2024</x:v>
      </x:c>
      <x:c r="J189" s="21" t="str">
        <x:v>RAFVG_REGIONAL_TABLE_2023</x:v>
      </x:c>
      <x:c r="K189" s="21" t="str">
        <x:v>NOT_ZERO</x:v>
      </x:c>
      <x:c r="L189" s="21" t="str">
        <x:v>2023_Q4</x:v>
      </x:c>
    </x:row>
    <x:row r="190">
      <x:c r="A190" s="20" t="str">
        <x:v>093026</x:v>
      </x:c>
      <x:c r="B190" s="21" t="str">
        <x:v>Meduno</x:v>
      </x:c>
      <x:c r="C190" s="22" t="n">
        <x:v>1087</x:v>
      </x:c>
      <x:c r="D190" s="23" t="n">
        <x:v>3731</x:v>
      </x:c>
      <x:c r="E190" s="24" t="n">
        <x:v>0</x:v>
      </x:c>
      <x:c r="F190" s="21" t="str">
        <x:v>OBSERVED</x:v>
      </x:c>
      <x:c r="G190" s="22" t="n">
        <x:v>120</x:v>
      </x:c>
      <x:c r="H190" s="21" t="str">
        <x:v>ACI_AUTORITRATTO_2024</x:v>
      </x:c>
      <x:c r="I190" s="21" t="str">
        <x:v>2024</x:v>
      </x:c>
      <x:c r="J190" s="21" t="str">
        <x:v>RAFVG_REGIONAL_TABLE_2023</x:v>
      </x:c>
      <x:c r="K190" s="21" t="str">
        <x:v>REGIONAL_TABLE</x:v>
      </x:c>
      <x:c r="L190" s="21" t="str">
        <x:v>2023_Q4</x:v>
      </x:c>
    </x:row>
    <x:row r="191">
      <x:c r="A191" s="20" t="str">
        <x:v>093027</x:v>
      </x:c>
      <x:c r="B191" s="21" t="str">
        <x:v>Montereale Valcellina</x:v>
      </x:c>
      <x:c r="C191" s="22" t="n">
        <x:v>3113</x:v>
      </x:c>
      <x:c r="D191" s="23" t="n">
        <x:v>3843</x:v>
      </x:c>
      <x:c r="E191" s="24" t="n">
        <x:v>655</x:v>
      </x:c>
      <x:c r="F191" s="21" t="str">
        <x:v>OBSERVED</x:v>
      </x:c>
      <x:c r="G191" s="22" t="n">
        <x:v>124</x:v>
      </x:c>
      <x:c r="H191" s="21" t="str">
        <x:v>ACI_AUTORITRATTO_2024</x:v>
      </x:c>
      <x:c r="I191" s="21" t="str">
        <x:v>2024</x:v>
      </x:c>
      <x:c r="J191" s="21" t="str">
        <x:v>RAFVG_REGIONAL_TABLE_2023</x:v>
      </x:c>
      <x:c r="K191" s="21" t="str">
        <x:v>NOT_ZERO</x:v>
      </x:c>
      <x:c r="L191" s="21" t="str">
        <x:v>2023_Q4</x:v>
      </x:c>
    </x:row>
    <x:row r="192">
      <x:c r="A192" s="20" t="str">
        <x:v>093028</x:v>
      </x:c>
      <x:c r="B192" s="21" t="str">
        <x:v>Morsano al Tagliamento</x:v>
      </x:c>
      <x:c r="C192" s="22" t="n">
        <x:v>2100</x:v>
      </x:c>
      <x:c r="D192" s="23" t="n">
        <x:v>522.4067796610169</x:v>
      </x:c>
      <x:c r="E192" s="24" t="n">
        <x:v>0</x:v>
      </x:c>
      <x:c r="F192" s="21" t="str">
        <x:v>IMPUTED_BEDS_RESIDUAL</x:v>
      </x:c>
      <x:c r="G192" s="22" t="n">
        <x:v>33</x:v>
      </x:c>
      <x:c r="H192" s="21" t="str">
        <x:v>ACI_AUTORITRATTO_2024</x:v>
      </x:c>
      <x:c r="I192" s="21" t="str">
        <x:v>2024</x:v>
      </x:c>
      <x:c r="J192" s="21" t="str">
        <x:v>RAFVG_REGIONAL_TABLE_2023</x:v>
      </x:c>
      <x:c r="K192" s="21" t="str">
        <x:v>REGIONAL_TABLE</x:v>
      </x:c>
      <x:c r="L192" s="21" t="str">
        <x:v>2023_Q4</x:v>
      </x:c>
    </x:row>
    <x:row r="193">
      <x:c r="A193" s="20" t="str">
        <x:v>093029</x:v>
      </x:c>
      <x:c r="B193" s="21" t="str">
        <x:v>Pasiano di Pordenone</x:v>
      </x:c>
      <x:c r="C193" s="22" t="n">
        <x:v>5426</x:v>
      </x:c>
      <x:c r="D193" s="23" t="n">
        <x:v>26414</x:v>
      </x:c>
      <x:c r="E193" s="24" t="n">
        <x:v>3788</x:v>
      </x:c>
      <x:c r="F193" s="21" t="str">
        <x:v>OBSERVED</x:v>
      </x:c>
      <x:c r="G193" s="22" t="n">
        <x:v>241</x:v>
      </x:c>
      <x:c r="H193" s="21" t="str">
        <x:v>ACI_AUTORITRATTO_2024</x:v>
      </x:c>
      <x:c r="I193" s="21" t="str">
        <x:v>2024</x:v>
      </x:c>
      <x:c r="J193" s="21" t="str">
        <x:v>RAFVG_REGIONAL_TABLE_2023</x:v>
      </x:c>
      <x:c r="K193" s="21" t="str">
        <x:v>NOT_ZERO</x:v>
      </x:c>
      <x:c r="L193" s="21" t="str">
        <x:v>2023_Q4</x:v>
      </x:c>
    </x:row>
    <x:row r="194">
      <x:c r="A194" s="20" t="str">
        <x:v>093030</x:v>
      </x:c>
      <x:c r="B194" s="21" t="str">
        <x:v>Pinzano al Tagliamento</x:v>
      </x:c>
      <x:c r="C194" s="22" t="n">
        <x:v>1095</x:v>
      </x:c>
      <x:c r="D194" s="23" t="n">
        <x:v>2068</x:v>
      </x:c>
      <x:c r="E194" s="24" t="n">
        <x:v>0</x:v>
      </x:c>
      <x:c r="F194" s="21" t="str">
        <x:v>OBSERVED</x:v>
      </x:c>
      <x:c r="G194" s="22" t="n">
        <x:v>59</x:v>
      </x:c>
      <x:c r="H194" s="21" t="str">
        <x:v>ACI_AUTORITRATTO_2024</x:v>
      </x:c>
      <x:c r="I194" s="21" t="str">
        <x:v>2024</x:v>
      </x:c>
      <x:c r="J194" s="21" t="str">
        <x:v>RAFVG_REGIONAL_TABLE_2023</x:v>
      </x:c>
      <x:c r="K194" s="21" t="str">
        <x:v>REGIONAL_TABLE</x:v>
      </x:c>
      <x:c r="L194" s="21" t="str">
        <x:v>2023_Q4</x:v>
      </x:c>
    </x:row>
    <x:row r="195">
      <x:c r="A195" s="20" t="str">
        <x:v>093031</x:v>
      </x:c>
      <x:c r="B195" s="21" t="str">
        <x:v>Polcenigo</x:v>
      </x:c>
      <x:c r="C195" s="22" t="n">
        <x:v>2325</x:v>
      </x:c>
      <x:c r="D195" s="23" t="n">
        <x:v>16875</x:v>
      </x:c>
      <x:c r="E195" s="24" t="n">
        <x:v>2877</x:v>
      </x:c>
      <x:c r="F195" s="21" t="str">
        <x:v>OBSERVED</x:v>
      </x:c>
      <x:c r="G195" s="22" t="n">
        <x:v>185</x:v>
      </x:c>
      <x:c r="H195" s="21" t="str">
        <x:v>ACI_AUTORITRATTO_2024</x:v>
      </x:c>
      <x:c r="I195" s="21" t="str">
        <x:v>2024</x:v>
      </x:c>
      <x:c r="J195" s="21" t="str">
        <x:v>RAFVG_REGIONAL_TABLE_2023</x:v>
      </x:c>
      <x:c r="K195" s="21" t="str">
        <x:v>NOT_ZERO</x:v>
      </x:c>
      <x:c r="L195" s="21" t="str">
        <x:v>2023_Q4</x:v>
      </x:c>
    </x:row>
    <x:row r="196">
      <x:c r="A196" s="20" t="str">
        <x:v>093032</x:v>
      </x:c>
      <x:c r="B196" s="21" t="str">
        <x:v>Porcia</x:v>
      </x:c>
      <x:c r="C196" s="22" t="n">
        <x:v>10783</x:v>
      </x:c>
      <x:c r="D196" s="23" t="n">
        <x:v>6727</x:v>
      </x:c>
      <x:c r="E196" s="24" t="n">
        <x:v>12971.61</x:v>
      </x:c>
      <x:c r="F196" s="21" t="str">
        <x:v>OBSERVED</x:v>
      </x:c>
      <x:c r="G196" s="22" t="n">
        <x:v>107</x:v>
      </x:c>
      <x:c r="H196" s="21" t="str">
        <x:v>ACI_AUTORITRATTO_2024</x:v>
      </x:c>
      <x:c r="I196" s="21" t="str">
        <x:v>2024</x:v>
      </x:c>
      <x:c r="J196" s="21" t="str">
        <x:v>RAFVG_REGIONAL_TABLE_2023</x:v>
      </x:c>
      <x:c r="K196" s="21" t="str">
        <x:v>NOT_ZERO</x:v>
      </x:c>
      <x:c r="L196" s="21" t="str">
        <x:v>2023_Q4</x:v>
      </x:c>
    </x:row>
    <x:row r="197">
      <x:c r="A197" s="20" t="str">
        <x:v>093033</x:v>
      </x:c>
      <x:c r="B197" s="21" t="str">
        <x:v>Pordenone</x:v>
      </x:c>
      <x:c r="C197" s="22" t="n">
        <x:v>37291</x:v>
      </x:c>
      <x:c r="D197" s="23" t="n">
        <x:v>122359</x:v>
      </x:c>
      <x:c r="E197" s="24" t="n">
        <x:v>83676.7</x:v>
      </x:c>
      <x:c r="F197" s="21" t="str">
        <x:v>OBSERVED</x:v>
      </x:c>
      <x:c r="G197" s="22" t="n">
        <x:v>1422</x:v>
      </x:c>
      <x:c r="H197" s="21" t="str">
        <x:v>ACI_AUTORITRATTO_2024</x:v>
      </x:c>
      <x:c r="I197" s="21" t="str">
        <x:v>2024</x:v>
      </x:c>
      <x:c r="J197" s="21" t="str">
        <x:v>RAFVG_REGIONAL_TABLE_2023</x:v>
      </x:c>
      <x:c r="K197" s="21" t="str">
        <x:v>NOT_ZERO</x:v>
      </x:c>
      <x:c r="L197" s="21" t="str">
        <x:v>2023_Q4</x:v>
      </x:c>
    </x:row>
    <x:row r="198">
      <x:c r="A198" s="20" t="str">
        <x:v>093034</x:v>
      </x:c>
      <x:c r="B198" s="21" t="str">
        <x:v>Prata di Pordenone</x:v>
      </x:c>
      <x:c r="C198" s="22" t="n">
        <x:v>5864</x:v>
      </x:c>
      <x:c r="D198" s="23" t="n">
        <x:v>22190</x:v>
      </x:c>
      <x:c r="E198" s="24" t="n">
        <x:v>8227.12</x:v>
      </x:c>
      <x:c r="F198" s="21" t="str">
        <x:v>OBSERVED</x:v>
      </x:c>
      <x:c r="G198" s="22" t="n">
        <x:v>188</x:v>
      </x:c>
      <x:c r="H198" s="21" t="str">
        <x:v>ACI_AUTORITRATTO_2024</x:v>
      </x:c>
      <x:c r="I198" s="21" t="str">
        <x:v>2024</x:v>
      </x:c>
      <x:c r="J198" s="21" t="str">
        <x:v>RAFVG_REGIONAL_TABLE_2023</x:v>
      </x:c>
      <x:c r="K198" s="21" t="str">
        <x:v>NOT_ZERO</x:v>
      </x:c>
      <x:c r="L198" s="21" t="str">
        <x:v>2023_Q4</x:v>
      </x:c>
    </x:row>
    <x:row r="199">
      <x:c r="A199" s="20" t="str">
        <x:v>093035</x:v>
      </x:c>
      <x:c r="B199" s="21" t="str">
        <x:v>Pravisdomini</x:v>
      </x:c>
      <x:c r="C199" s="22" t="n">
        <x:v>2708</x:v>
      </x:c>
      <x:c r="D199" s="23" t="n">
        <x:v>538.2372881355932</x:v>
      </x:c>
      <x:c r="E199" s="24" t="n">
        <x:v>0</x:v>
      </x:c>
      <x:c r="F199" s="21" t="str">
        <x:v>IMPUTED_BEDS_RESIDUAL</x:v>
      </x:c>
      <x:c r="G199" s="22" t="n">
        <x:v>34</x:v>
      </x:c>
      <x:c r="H199" s="21" t="str">
        <x:v>ACI_AUTORITRATTO_2024</x:v>
      </x:c>
      <x:c r="I199" s="21" t="str">
        <x:v>2024</x:v>
      </x:c>
      <x:c r="J199" s="21" t="str">
        <x:v>RAFVG_REGIONAL_TABLE_2023</x:v>
      </x:c>
      <x:c r="K199" s="21" t="str">
        <x:v>REGIONAL_TABLE</x:v>
      </x:c>
      <x:c r="L199" s="21" t="str">
        <x:v>2023_Q4</x:v>
      </x:c>
    </x:row>
    <x:row r="200">
      <x:c r="A200" s="20" t="str">
        <x:v>093036</x:v>
      </x:c>
      <x:c r="B200" s="21" t="str">
        <x:v>Roveredo in Piano</x:v>
      </x:c>
      <x:c r="C200" s="22" t="n">
        <x:v>4232</x:v>
      </x:c>
      <x:c r="D200" s="23" t="n">
        <x:v>1345</x:v>
      </x:c>
      <x:c r="E200" s="24" t="n">
        <x:v>18608</x:v>
      </x:c>
      <x:c r="F200" s="21" t="str">
        <x:v>OBSERVED</x:v>
      </x:c>
      <x:c r="G200" s="22" t="n">
        <x:v>40</x:v>
      </x:c>
      <x:c r="H200" s="21" t="str">
        <x:v>ACI_AUTORITRATTO_2024</x:v>
      </x:c>
      <x:c r="I200" s="21" t="str">
        <x:v>2024</x:v>
      </x:c>
      <x:c r="J200" s="21" t="str">
        <x:v>RAFVG_REGIONAL_TABLE_2023</x:v>
      </x:c>
      <x:c r="K200" s="21" t="str">
        <x:v>NOT_ZERO</x:v>
      </x:c>
      <x:c r="L200" s="21" t="str">
        <x:v>2023_Q4</x:v>
      </x:c>
    </x:row>
    <x:row r="201">
      <x:c r="A201" s="20" t="str">
        <x:v>093037</x:v>
      </x:c>
      <x:c r="B201" s="21" t="str">
        <x:v>Sacile</x:v>
      </x:c>
      <x:c r="C201" s="22" t="n">
        <x:v>13976</x:v>
      </x:c>
      <x:c r="D201" s="23" t="n">
        <x:v>44035</x:v>
      </x:c>
      <x:c r="E201" s="24" t="n">
        <x:v>35427.41</x:v>
      </x:c>
      <x:c r="F201" s="21" t="str">
        <x:v>OBSERVED</x:v>
      </x:c>
      <x:c r="G201" s="22" t="n">
        <x:v>340</x:v>
      </x:c>
      <x:c r="H201" s="21" t="str">
        <x:v>ACI_AUTORITRATTO_2024</x:v>
      </x:c>
      <x:c r="I201" s="21" t="str">
        <x:v>2024</x:v>
      </x:c>
      <x:c r="J201" s="21" t="str">
        <x:v>RAFVG_REGIONAL_TABLE_2023</x:v>
      </x:c>
      <x:c r="K201" s="21" t="str">
        <x:v>NOT_ZERO</x:v>
      </x:c>
      <x:c r="L201" s="21" t="str">
        <x:v>2023_Q4</x:v>
      </x:c>
    </x:row>
    <x:row r="202">
      <x:c r="A202" s="20" t="str">
        <x:v>093038</x:v>
      </x:c>
      <x:c r="B202" s="21" t="str">
        <x:v>San Giorgio della Richinvelda</x:v>
      </x:c>
      <x:c r="C202" s="22" t="n">
        <x:v>3365</x:v>
      </x:c>
      <x:c r="D202" s="23" t="n">
        <x:v>1629</x:v>
      </x:c>
      <x:c r="E202" s="24" t="n">
        <x:v>1300</x:v>
      </x:c>
      <x:c r="F202" s="21" t="str">
        <x:v>OBSERVED</x:v>
      </x:c>
      <x:c r="G202" s="22" t="n">
        <x:v>33</x:v>
      </x:c>
      <x:c r="H202" s="21" t="str">
        <x:v>ACI_AUTORITRATTO_2024</x:v>
      </x:c>
      <x:c r="I202" s="21" t="str">
        <x:v>2024</x:v>
      </x:c>
      <x:c r="J202" s="21" t="str">
        <x:v>RAFVG_REGIONAL_TABLE_2023</x:v>
      </x:c>
      <x:c r="K202" s="21" t="str">
        <x:v>NOT_ZERO</x:v>
      </x:c>
      <x:c r="L202" s="21" t="str">
        <x:v>2022_Q1</x:v>
      </x:c>
    </x:row>
    <x:row r="203">
      <x:c r="A203" s="20" t="str">
        <x:v>093039</x:v>
      </x:c>
      <x:c r="B203" s="21" t="str">
        <x:v>San Martino al Tagliamento</x:v>
      </x:c>
      <x:c r="C203" s="22" t="n">
        <x:v>1066</x:v>
      </x:c>
      <x:c r="D203" s="23" t="n">
        <x:v>379.93220338983053</x:v>
      </x:c>
      <x:c r="E203" s="24" t="n">
        <x:v>3818</x:v>
      </x:c>
      <x:c r="F203" s="21" t="str">
        <x:v>IMPUTED_BEDS_RESIDUAL</x:v>
      </x:c>
      <x:c r="G203" s="22" t="n">
        <x:v>24</x:v>
      </x:c>
      <x:c r="H203" s="21" t="str">
        <x:v>ACI_AUTORITRATTO_2024</x:v>
      </x:c>
      <x:c r="I203" s="21" t="str">
        <x:v>2024</x:v>
      </x:c>
      <x:c r="J203" s="21" t="str">
        <x:v>RAFVG_REGIONAL_TABLE_2023</x:v>
      </x:c>
      <x:c r="K203" s="21" t="str">
        <x:v>NOT_ZERO</x:v>
      </x:c>
      <x:c r="L203" s="21" t="str">
        <x:v>2021_Q2</x:v>
      </x:c>
    </x:row>
    <x:row r="204">
      <x:c r="A204" s="20" t="str">
        <x:v>093040</x:v>
      </x:c>
      <x:c r="B204" s="21" t="str">
        <x:v>San Quirino</x:v>
      </x:c>
      <x:c r="C204" s="22" t="n">
        <x:v>3100</x:v>
      </x:c>
      <x:c r="D204" s="23" t="n">
        <x:v>535</x:v>
      </x:c>
      <x:c r="E204" s="24" t="n">
        <x:v>0</x:v>
      </x:c>
      <x:c r="F204" s="21" t="str">
        <x:v>OBSERVED</x:v>
      </x:c>
      <x:c r="G204" s="22" t="n">
        <x:v>18</x:v>
      </x:c>
      <x:c r="H204" s="21" t="str">
        <x:v>ACI_AUTORITRATTO_2024</x:v>
      </x:c>
      <x:c r="I204" s="21" t="str">
        <x:v>2024</x:v>
      </x:c>
      <x:c r="J204" s="21" t="str">
        <x:v>RAFVG_REGIONAL_TABLE_2023</x:v>
      </x:c>
      <x:c r="K204" s="21" t="str">
        <x:v>REGIONAL_TABLE</x:v>
      </x:c>
      <x:c r="L204" s="21" t="str">
        <x:v>2023_Q4</x:v>
      </x:c>
    </x:row>
    <x:row r="205">
      <x:c r="A205" s="20" t="str">
        <x:v>093041</x:v>
      </x:c>
      <x:c r="B205" s="21" t="str">
        <x:v>San Vito al Tagliamento</x:v>
      </x:c>
      <x:c r="C205" s="22" t="n">
        <x:v>10591</x:v>
      </x:c>
      <x:c r="D205" s="23" t="n">
        <x:v>30299</x:v>
      </x:c>
      <x:c r="E205" s="24" t="n">
        <x:v>16067.07</x:v>
      </x:c>
      <x:c r="F205" s="21" t="str">
        <x:v>OBSERVED</x:v>
      </x:c>
      <x:c r="G205" s="22" t="n">
        <x:v>338</x:v>
      </x:c>
      <x:c r="H205" s="21" t="str">
        <x:v>ACI_AUTORITRATTO_2024</x:v>
      </x:c>
      <x:c r="I205" s="21" t="str">
        <x:v>2024</x:v>
      </x:c>
      <x:c r="J205" s="21" t="str">
        <x:v>RAFVG_REGIONAL_TABLE_2023</x:v>
      </x:c>
      <x:c r="K205" s="21" t="str">
        <x:v>NOT_ZERO</x:v>
      </x:c>
      <x:c r="L205" s="21" t="str">
        <x:v>2023_Q4</x:v>
      </x:c>
    </x:row>
    <x:row r="206">
      <x:c r="A206" s="20" t="str">
        <x:v>093042</x:v>
      </x:c>
      <x:c r="B206" s="21" t="str">
        <x:v>Sequals</x:v>
      </x:c>
      <x:c r="C206" s="22" t="n">
        <x:v>1581</x:v>
      </x:c>
      <x:c r="D206" s="23" t="n">
        <x:v>11667</x:v>
      </x:c>
      <x:c r="E206" s="24" t="n">
        <x:v>0</x:v>
      </x:c>
      <x:c r="F206" s="21" t="str">
        <x:v>OBSERVED</x:v>
      </x:c>
      <x:c r="G206" s="22" t="n">
        <x:v>200</x:v>
      </x:c>
      <x:c r="H206" s="21" t="str">
        <x:v>ACI_AUTORITRATTO_2024</x:v>
      </x:c>
      <x:c r="I206" s="21" t="str">
        <x:v>2024</x:v>
      </x:c>
      <x:c r="J206" s="21" t="str">
        <x:v>RAFVG_REGIONAL_TABLE_2023</x:v>
      </x:c>
      <x:c r="K206" s="21" t="str">
        <x:v>REGIONAL_TABLE</x:v>
      </x:c>
      <x:c r="L206" s="21" t="str">
        <x:v>2023_Q4</x:v>
      </x:c>
    </x:row>
    <x:row r="207">
      <x:c r="A207" s="20" t="str">
        <x:v>093043</x:v>
      </x:c>
      <x:c r="B207" s="21" t="str">
        <x:v>Sesto al Reghena</x:v>
      </x:c>
      <x:c r="C207" s="22" t="n">
        <x:v>4585</x:v>
      </x:c>
      <x:c r="D207" s="23" t="n">
        <x:v>9959</x:v>
      </x:c>
      <x:c r="E207" s="24" t="n">
        <x:v>570</x:v>
      </x:c>
      <x:c r="F207" s="21" t="str">
        <x:v>OBSERVED</x:v>
      </x:c>
      <x:c r="G207" s="22" t="n">
        <x:v>221</x:v>
      </x:c>
      <x:c r="H207" s="21" t="str">
        <x:v>ACI_AUTORITRATTO_2024</x:v>
      </x:c>
      <x:c r="I207" s="21" t="str">
        <x:v>2024</x:v>
      </x:c>
      <x:c r="J207" s="21" t="str">
        <x:v>RAFVG_REGIONAL_TABLE_2023</x:v>
      </x:c>
      <x:c r="K207" s="21" t="str">
        <x:v>NOT_ZERO</x:v>
      </x:c>
      <x:c r="L207" s="21" t="str">
        <x:v>2023_Q4</x:v>
      </x:c>
    </x:row>
    <x:row r="208">
      <x:c r="A208" s="20" t="str">
        <x:v>093044</x:v>
      </x:c>
      <x:c r="B208" s="21" t="str">
        <x:v>Spilimbergo</x:v>
      </x:c>
      <x:c r="C208" s="22" t="n">
        <x:v>8454</x:v>
      </x:c>
      <x:c r="D208" s="23" t="n">
        <x:v>21359</x:v>
      </x:c>
      <x:c r="E208" s="24" t="n">
        <x:v>16634.35</x:v>
      </x:c>
      <x:c r="F208" s="21" t="str">
        <x:v>OBSERVED</x:v>
      </x:c>
      <x:c r="G208" s="22" t="n">
        <x:v>330</x:v>
      </x:c>
      <x:c r="H208" s="21" t="str">
        <x:v>ACI_AUTORITRATTO_2024</x:v>
      </x:c>
      <x:c r="I208" s="21" t="str">
        <x:v>2024</x:v>
      </x:c>
      <x:c r="J208" s="21" t="str">
        <x:v>RAFVG_REGIONAL_TABLE_2023</x:v>
      </x:c>
      <x:c r="K208" s="21" t="str">
        <x:v>NOT_ZERO</x:v>
      </x:c>
      <x:c r="L208" s="21" t="str">
        <x:v>2023_Q4</x:v>
      </x:c>
    </x:row>
    <x:row r="209">
      <x:c r="A209" s="20" t="str">
        <x:v>093045</x:v>
      </x:c>
      <x:c r="B209" s="21" t="str">
        <x:v>Tramonti di Sopra</x:v>
      </x:c>
      <x:c r="C209" s="22" t="n">
        <x:v>217</x:v>
      </x:c>
      <x:c r="D209" s="23" t="n">
        <x:v>332.4406779661017</x:v>
      </x:c>
      <x:c r="E209" s="24" t="n">
        <x:v>0</x:v>
      </x:c>
      <x:c r="F209" s="21" t="str">
        <x:v>IMPUTED_BEDS_RESIDUAL</x:v>
      </x:c>
      <x:c r="G209" s="22" t="n">
        <x:v>21</x:v>
      </x:c>
      <x:c r="H209" s="21" t="str">
        <x:v>ACI_AUTORITRATTO_2024</x:v>
      </x:c>
      <x:c r="I209" s="21" t="str">
        <x:v>2024</x:v>
      </x:c>
      <x:c r="J209" s="21" t="str">
        <x:v>RAFVG_REGIONAL_TABLE_2023</x:v>
      </x:c>
      <x:c r="K209" s="21" t="str">
        <x:v>REGIONAL_TABLE</x:v>
      </x:c>
      <x:c r="L209" s="21" t="str">
        <x:v>2023_Q4</x:v>
      </x:c>
    </x:row>
    <x:row r="210">
      <x:c r="A210" s="20" t="str">
        <x:v>093046</x:v>
      </x:c>
      <x:c r="B210" s="21" t="str">
        <x:v>Tramonti di Sotto</x:v>
      </x:c>
      <x:c r="C210" s="22" t="n">
        <x:v>263</x:v>
      </x:c>
      <x:c r="D210" s="23" t="n">
        <x:v>442</x:v>
      </x:c>
      <x:c r="E210" s="24" t="n">
        <x:v>0</x:v>
      </x:c>
      <x:c r="F210" s="21" t="str">
        <x:v>OBSERVED</x:v>
      </x:c>
      <x:c r="G210" s="22" t="n">
        <x:v>169</x:v>
      </x:c>
      <x:c r="H210" s="21" t="str">
        <x:v>ACI_AUTORITRATTO_2024</x:v>
      </x:c>
      <x:c r="I210" s="21" t="str">
        <x:v>2024</x:v>
      </x:c>
      <x:c r="J210" s="21" t="str">
        <x:v>RAFVG_REGIONAL_TABLE_2023</x:v>
      </x:c>
      <x:c r="K210" s="21" t="str">
        <x:v>REGIONAL_TABLE</x:v>
      </x:c>
      <x:c r="L210" s="21" t="str">
        <x:v>2023_Q4</x:v>
      </x:c>
    </x:row>
    <x:row r="211">
      <x:c r="A211" s="20" t="str">
        <x:v>093047</x:v>
      </x:c>
      <x:c r="B211" s="21" t="str">
        <x:v>Travesio</x:v>
      </x:c>
      <x:c r="C211" s="22" t="n">
        <x:v>1239</x:v>
      </x:c>
      <x:c r="D211" s="23" t="n">
        <x:v>664.8813559322034</x:v>
      </x:c>
      <x:c r="E211" s="24" t="n">
        <x:v>0</x:v>
      </x:c>
      <x:c r="F211" s="21" t="str">
        <x:v>IMPUTED_BEDS_RESIDUAL</x:v>
      </x:c>
      <x:c r="G211" s="22" t="n">
        <x:v>42</x:v>
      </x:c>
      <x:c r="H211" s="21" t="str">
        <x:v>ACI_AUTORITRATTO_2024</x:v>
      </x:c>
      <x:c r="I211" s="21" t="str">
        <x:v>2024</x:v>
      </x:c>
      <x:c r="J211" s="21" t="str">
        <x:v>RAFVG_REGIONAL_TABLE_2023</x:v>
      </x:c>
      <x:c r="K211" s="21" t="str">
        <x:v>REGIONAL_TABLE</x:v>
      </x:c>
      <x:c r="L211" s="21" t="str">
        <x:v>2023_Q4</x:v>
      </x:c>
    </x:row>
    <x:row r="212">
      <x:c r="A212" s="20" t="str">
        <x:v>093049</x:v>
      </x:c>
      <x:c r="B212" s="21" t="str">
        <x:v>Vito d'Asio</x:v>
      </x:c>
      <x:c r="C212" s="22" t="n">
        <x:v>529</x:v>
      </x:c>
      <x:c r="D212" s="23" t="n">
        <x:v>267</x:v>
      </x:c>
      <x:c r="E212" s="24" t="n">
        <x:v>0</x:v>
      </x:c>
      <x:c r="F212" s="21" t="str">
        <x:v>OBSERVED</x:v>
      </x:c>
      <x:c r="G212" s="22" t="n">
        <x:v>65</x:v>
      </x:c>
      <x:c r="H212" s="21" t="str">
        <x:v>ACI_AUTORITRATTO_2024</x:v>
      </x:c>
      <x:c r="I212" s="21" t="str">
        <x:v>2024</x:v>
      </x:c>
      <x:c r="J212" s="21" t="str">
        <x:v>RAFVG_REGIONAL_TABLE_2023</x:v>
      </x:c>
      <x:c r="K212" s="21" t="str">
        <x:v>REGIONAL_TABLE</x:v>
      </x:c>
      <x:c r="L212" s="21" t="str">
        <x:v>2023_Q4</x:v>
      </x:c>
    </x:row>
    <x:row r="213">
      <x:c r="A213" s="20" t="str">
        <x:v>093050</x:v>
      </x:c>
      <x:c r="B213" s="21" t="str">
        <x:v>Vivaro</x:v>
      </x:c>
      <x:c r="C213" s="22" t="n">
        <x:v>978</x:v>
      </x:c>
      <x:c r="D213" s="23" t="n">
        <x:v>16611</x:v>
      </x:c>
      <x:c r="E213" s="24" t="n">
        <x:v>660.4</x:v>
      </x:c>
      <x:c r="F213" s="21" t="str">
        <x:v>OBSERVED</x:v>
      </x:c>
      <x:c r="G213" s="22" t="n">
        <x:v>191</x:v>
      </x:c>
      <x:c r="H213" s="21" t="str">
        <x:v>ACI_AUTORITRATTO_2024</x:v>
      </x:c>
      <x:c r="I213" s="21" t="str">
        <x:v>2024</x:v>
      </x:c>
      <x:c r="J213" s="21" t="str">
        <x:v>RAFVG_REGIONAL_TABLE_2023</x:v>
      </x:c>
      <x:c r="K213" s="21" t="str">
        <x:v>NOT_ZERO</x:v>
      </x:c>
      <x:c r="L213" s="21" t="str">
        <x:v>2023_Q4</x:v>
      </x:c>
    </x:row>
    <x:row r="214">
      <x:c r="A214" s="20" t="str">
        <x:v>093051</x:v>
      </x:c>
      <x:c r="B214" s="21" t="str">
        <x:v>Zoppola</x:v>
      </x:c>
      <x:c r="C214" s="22" t="n">
        <x:v>5980</x:v>
      </x:c>
      <x:c r="D214" s="23" t="n">
        <x:v>11925</x:v>
      </x:c>
      <x:c r="E214" s="24" t="n">
        <x:v>6119</x:v>
      </x:c>
      <x:c r="F214" s="21" t="str">
        <x:v>OBSERVED</x:v>
      </x:c>
      <x:c r="G214" s="22" t="n">
        <x:v>152</x:v>
      </x:c>
      <x:c r="H214" s="21" t="str">
        <x:v>ACI_AUTORITRATTO_2024</x:v>
      </x:c>
      <x:c r="I214" s="21" t="str">
        <x:v>2024</x:v>
      </x:c>
      <x:c r="J214" s="21" t="str">
        <x:v>RAFVG_REGIONAL_TABLE_2023</x:v>
      </x:c>
      <x:c r="K214" s="21" t="str">
        <x:v>NOT_ZERO</x:v>
      </x:c>
      <x:c r="L214" s="21" t="str">
        <x:v>2023_Q4</x:v>
      </x:c>
    </x:row>
    <x:row r="215">
      <x:c r="A215" s="20" t="str">
        <x:v>093052</x:v>
      </x:c>
      <x:c r="B215" s="21" t="str">
        <x:v>Vajont</x:v>
      </x:c>
      <x:c r="C215" s="22" t="n">
        <x:v>1116</x:v>
      </x:c>
      <x:c r="D215" s="23" t="n">
        <x:v>1108.135593220339</x:v>
      </x:c>
      <x:c r="E215" s="24" t="n">
        <x:v>0</x:v>
      </x:c>
      <x:c r="F215" s="21" t="str">
        <x:v>IMPUTED_BEDS_RESIDUAL</x:v>
      </x:c>
      <x:c r="G215" s="22" t="n">
        <x:v>70</x:v>
      </x:c>
      <x:c r="H215" s="21" t="str">
        <x:v>ACI_AUTORITRATTO_2024</x:v>
      </x:c>
      <x:c r="I215" s="21" t="str">
        <x:v>2024</x:v>
      </x:c>
      <x:c r="J215" s="21" t="str">
        <x:v>RAFVG_REGIONAL_TABLE_2023</x:v>
      </x:c>
      <x:c r="K215" s="21" t="str">
        <x:v>REGIONAL_TABLE</x:v>
      </x:c>
      <x:c r="L215" s="21" t="str">
        <x:v>2023_Q4</x:v>
      </x:c>
    </x:row>
    <x:row r="216">
      <x:c r="A216" s="20" t="str">
        <x:v>093053</x:v>
      </x:c>
      <x:c r="B216" s="21" t="str">
        <x:v>Valvasone Arzene</x:v>
      </x:c>
      <x:c r="C216" s="22" t="n">
        <x:v>3016</x:v>
      </x:c>
      <x:c r="D216" s="23" t="n">
        <x:v>1206</x:v>
      </x:c>
      <x:c r="E216" s="24" t="n">
        <x:v>0</x:v>
      </x:c>
      <x:c r="F216" s="21" t="str">
        <x:v>OBSERVED</x:v>
      </x:c>
      <x:c r="G216" s="22" t="n">
        <x:v>43</x:v>
      </x:c>
      <x:c r="H216" s="21" t="str">
        <x:v>ACI_AUTORITRATTO_2024</x:v>
      </x:c>
      <x:c r="I216" s="21" t="str">
        <x:v>2024</x:v>
      </x:c>
      <x:c r="J216" s="21" t="str">
        <x:v>RAFVG_REGIONAL_TABLE_2023</x:v>
      </x:c>
      <x:c r="K216" s="21" t="str">
        <x:v>REGIONAL_TABLE</x:v>
      </x:c>
      <x:c r="L216" s="21" t="str">
        <x:v>2023_Q4</x:v>
      </x:c>
    </x:row>
  </x:sheetData>
  <x:conditionalFormatting sqref="A2:L216">
    <x:cfRule type="expression" dxfId="0" priority="1">
      <x:formula>$K2="EXTERNAL_EVIDENCE"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53408722ef40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  <x:col min="3" max="3" width="12" hidden="0" customWidth="1"/>
    <x:col min="4" max="4" width="36" hidden="0" customWidth="1"/>
    <x:col min="5" max="5" width="24" hidden="0" customWidth="1"/>
  </x:cols>
  <x:sheetData>
    <x:row r="1">
      <x:c r="A1" s="34" t="str">
        <x:v>FIELD</x:v>
      </x:c>
      <x:c r="B1" s="34" t="str">
        <x:v>VALUE</x:v>
      </x:c>
    </x:row>
    <x:row r="2">
      <x:c r="A2" s="21" t="str">
        <x:v>CANONICAL_VARIABLE</x:v>
      </x:c>
      <x:c r="B2" s="21" t="str">
        <x:v>PARCO_AUTO_v0 = ACI_AUTOVETTURE_2024</x:v>
      </x:c>
    </x:row>
    <x:row r="3">
      <x:c r="A3" s="21" t="str">
        <x:v>SOURCE</x:v>
      </x:c>
      <x:c r="B3" s="21" t="str">
        <x:v>ACI — Autoritratto 2024, Parco veicolare</x:v>
      </x:c>
    </x:row>
    <x:row r="4">
      <x:c r="A4" s="21" t="str">
        <x:v>SOURCE_FILE</x:v>
      </x:c>
      <x:c r="B4" s="21" t="str">
        <x:v>Parco_veicolare_2024.xlsx</x:v>
      </x:c>
    </x:row>
    <x:row r="5">
      <x:c r="A5" s="21" t="str">
        <x:v>SOURCE_SHEET</x:v>
      </x:c>
      <x:c r="B5" s="21" t="str">
        <x:v>45 Comune categoria</x:v>
      </x:c>
    </x:row>
    <x:row r="6">
      <x:c r="A6" s="21" t="str">
        <x:v>REFERENCE_YEAR</x:v>
      </x:c>
      <x:c r="B6" s="21" t="str">
        <x:v>2024</x:v>
      </x:c>
    </x:row>
    <x:row r="7">
      <x:c r="A7" s="21" t="str">
        <x:v>MUNICIPAL_SUM</x:v>
      </x:c>
      <x:c r="B7" s="21" t="str">
        <x:v>828909</x:v>
      </x:c>
    </x:row>
    <x:row r="8">
      <x:c r="A8" s="21" t="str">
        <x:v>ACI_COMUNE_NON_DEFINITO_EXCLUDED</x:v>
      </x:c>
      <x:c r="B8" s="21" t="str">
        <x:v>20</x:v>
      </x:c>
    </x:row>
    <x:row r="9">
      <x:c r="A9" s="21" t="str">
        <x:v>RULE_NON_DEFINITO</x:v>
      </x:c>
      <x:c r="B9" s="21" t="str">
        <x:v>Excluded; not imputed or redistributed</x:v>
      </x:c>
    </x:row>
    <x:row r="10">
      <x:c r="A10" s="21" t="str">
        <x:v>SOURCE_URL</x:v>
      </x:c>
      <x:c r="B10" s="21" t="str">
        <x:v>https://aci.gov.it/attivita-e-progetti/studi-e-ricerche/autoritratto/</x:v>
      </x:c>
    </x:row>
    <x:row r="13">
      <x:c r="A13" s="34" t="str">
        <x:v>PROVINCIA_ACI</x:v>
      </x:c>
      <x:c r="B13" s="34" t="str">
        <x:v>COMUNE_ACI</x:v>
      </x:c>
      <x:c r="C13" s="34" t="str">
        <x:v>PRO_COM</x:v>
      </x:c>
      <x:c r="D13" s="34" t="str">
        <x:v>COMUNE_ISTAT</x:v>
      </x:c>
      <x:c r="E13" s="34" t="str">
        <x:v>MATCH_TYPE</x:v>
      </x:c>
    </x:row>
    <x:row r="14">
      <x:c r="A14" t="str">
        <x:v>GORIZIA</x:v>
      </x:c>
      <x:c r="B14" t="str">
        <x:v>DOBERDO' DEL LAGO</x:v>
      </x:c>
      <x:c r="C14" s="12" t="str">
        <x:v>031003</x:v>
      </x:c>
      <x:c r="D14" t="str">
        <x:v>Doberdò del Lago-Doberdob</x:v>
      </x:c>
      <x:c r="E14" t="str">
        <x:v>ALIAS_DETERMINISTIC</x:v>
      </x:c>
    </x:row>
    <x:row r="15">
      <x:c r="A15" t="str">
        <x:v>GORIZIA</x:v>
      </x:c>
      <x:c r="B15" t="str">
        <x:v>SAN FLORIANO DEL COLLIO</x:v>
      </x:c>
      <x:c r="C15" s="12" t="str">
        <x:v>031019</x:v>
      </x:c>
      <x:c r="D15" t="str">
        <x:v>San Floriano del Collio-Števerjan</x:v>
      </x:c>
      <x:c r="E15" t="str">
        <x:v>ALIAS_DETERMINISTIC</x:v>
      </x:c>
    </x:row>
    <x:row r="16">
      <x:c r="A16" t="str">
        <x:v>GORIZIA</x:v>
      </x:c>
      <x:c r="B16" t="str">
        <x:v>SAVOGNA D'ISONZO</x:v>
      </x:c>
      <x:c r="C16" s="12" t="str">
        <x:v>031022</x:v>
      </x:c>
      <x:c r="D16" t="str">
        <x:v>Savogna d'Isonzo-Sovodnje ob Soči</x:v>
      </x:c>
      <x:c r="E16" t="str">
        <x:v>ALIAS_DETERMINISTIC</x:v>
      </x:c>
    </x:row>
    <x:row r="17">
      <x:c r="A17" t="str">
        <x:v>PORDENONE</x:v>
      </x:c>
      <x:c r="B17" t="str">
        <x:v>S.GIORGIO RICHINVELDA</x:v>
      </x:c>
      <x:c r="C17" s="12" t="str">
        <x:v>093038</x:v>
      </x:c>
      <x:c r="D17" t="str">
        <x:v>San Giorgio della Richinvelda</x:v>
      </x:c>
      <x:c r="E17" t="str">
        <x:v>ALIAS_DETERMINISTIC</x:v>
      </x:c>
    </x:row>
    <x:row r="18">
      <x:c r="A18" t="str">
        <x:v>PORDENONE</x:v>
      </x:c>
      <x:c r="B18" t="str">
        <x:v>S.MARTINO TAGLIAMENTO</x:v>
      </x:c>
      <x:c r="C18" s="12" t="str">
        <x:v>093039</x:v>
      </x:c>
      <x:c r="D18" t="str">
        <x:v>San Martino al Tagliamento</x:v>
      </x:c>
      <x:c r="E18" t="str">
        <x:v>ALIAS_DETERMINISTIC</x:v>
      </x:c>
    </x:row>
    <x:row r="19">
      <x:c r="A19" t="str">
        <x:v>TRIESTE</x:v>
      </x:c>
      <x:c r="B19" t="str">
        <x:v>DUINO AURISINA</x:v>
      </x:c>
      <x:c r="C19" s="12" t="str">
        <x:v>032001</x:v>
      </x:c>
      <x:c r="D19" t="str">
        <x:v>Duino Aurisina-Devin Nabrežina</x:v>
      </x:c>
      <x:c r="E19" t="str">
        <x:v>ALIAS_DETERMINISTIC</x:v>
      </x:c>
    </x:row>
    <x:row r="20">
      <x:c r="A20" t="str">
        <x:v>TRIESTE</x:v>
      </x:c>
      <x:c r="B20" t="str">
        <x:v>MONRUPINO</x:v>
      </x:c>
      <x:c r="C20" s="12" t="str">
        <x:v>032002</x:v>
      </x:c>
      <x:c r="D20" t="str">
        <x:v>Monrupino-Repentabor</x:v>
      </x:c>
      <x:c r="E20" t="str">
        <x:v>ALIAS_DETERMINISTIC</x:v>
      </x:c>
    </x:row>
    <x:row r="21">
      <x:c r="A21" t="str">
        <x:v>TRIESTE</x:v>
      </x:c>
      <x:c r="B21" t="str">
        <x:v>SAN DORLIGO DELLA VALLE</x:v>
      </x:c>
      <x:c r="C21" s="12" t="str">
        <x:v>032004</x:v>
      </x:c>
      <x:c r="D21" t="str">
        <x:v>San Dorligo della Valle-Dolina</x:v>
      </x:c>
      <x:c r="E21" t="str">
        <x:v>ALIAS_DETERMINISTIC</x:v>
      </x:c>
    </x:row>
    <x:row r="22">
      <x:c r="A22" t="str">
        <x:v>TRIESTE</x:v>
      </x:c>
      <x:c r="B22" t="str">
        <x:v>SGONICO</x:v>
      </x:c>
      <x:c r="C22" s="12" t="str">
        <x:v>032005</x:v>
      </x:c>
      <x:c r="D22" t="str">
        <x:v>Sgonico-Zgonik</x:v>
      </x:c>
      <x:c r="E22" t="str">
        <x:v>ALIAS_DETERMINISTIC</x:v>
      </x:c>
    </x:row>
    <x:row r="23">
      <x:c r="A23" t="str">
        <x:v>UDINE</x:v>
      </x:c>
      <x:c r="B23" t="str">
        <x:v>FIUMICELLO VILLA VICENTIN</x:v>
      </x:c>
      <x:c r="C23" s="12" t="str">
        <x:v>030190</x:v>
      </x:c>
      <x:c r="D23" t="str">
        <x:v>Fiumicello Villa Vicentina</x:v>
      </x:c>
      <x:c r="E23" t="str">
        <x:v>ALIAS_DETERMINISTIC</x:v>
      </x:c>
    </x:row>
    <x:row r="24">
      <x:c r="A24" t="str">
        <x:v>UDINE</x:v>
      </x:c>
      <x:c r="B24" t="str">
        <x:v>TERZO DI AQUILEIA</x:v>
      </x:c>
      <x:c r="C24" s="12" t="str">
        <x:v>030120</x:v>
      </x:c>
      <x:c r="D24" t="str">
        <x:v>Terzo d'Aquileia</x:v>
      </x:c>
      <x:c r="E24" t="str">
        <x:v>ALIAS_DETERMINISTIC</x:v>
      </x:c>
    </x:row>
  </x:sheetData>
  <x:pageMargins left="0.7" right="0.7" top="0.75" bottom="0.75" header="0.3" footer="0.3"/>
  <x:tableParts count="1">
    <x:tablePart xmlns:r="http://schemas.openxmlformats.org/officeDocument/2006/relationships" r:id="R351d4e90d2884ca8"/>
  </x:tableParts>
</x:worksheet>
</file>

<file path=xl/worksheets/sheet3.xml><?xml version="1.0" encoding="utf-8"?>
<x:worksheet xmlns:x="http://schemas.openxmlformats.org/spreadsheetml/2006/main">
  <x:sheetFormatPr defaultRowHeight="15"/>
  <x:cols>
    <x:col min="10" max="10" width="28" hidden="0" customWidth="1"/>
    <x:col min="11" max="11" width="55" hidden="0" customWidth="1"/>
    <x:col min="1" max="1" width="11" hidden="0" customWidth="1"/>
    <x:col min="2" max="2" width="31" hidden="0" customWidth="1"/>
    <x:col min="3" max="3" width="24" hidden="0" customWidth="1"/>
    <x:col min="4" max="4" width="12" hidden="0" customWidth="1"/>
    <x:col min="5" max="5" width="27" hidden="0" customWidth="1"/>
    <x:col min="6" max="6" width="18" hidden="0" customWidth="1"/>
    <x:col min="7" max="7" width="14" hidden="0" customWidth="1"/>
    <x:col min="8" max="8" width="20" hidden="0" customWidth="1"/>
  </x:cols>
  <x:sheetData>
    <x:row r="1">
      <x:c r="A1" s="34" t="str">
        <x:v>PRO_COM</x:v>
      </x:c>
      <x:c r="B1" s="34" t="str">
        <x:v>COMUNE</x:v>
      </x:c>
      <x:c r="C1" s="34" t="str">
        <x:v>OBSERVED_PRESENZE_2024</x:v>
      </x:c>
      <x:c r="D1" s="34" t="str">
        <x:v>BEDS_2024</x:v>
      </x:c>
      <x:c r="E1" s="34" t="str">
        <x:v>TURISMO_SOURCE</x:v>
      </x:c>
      <x:c r="F1" s="34" t="str">
        <x:v>TURISMO_RAW</x:v>
      </x:c>
      <x:c r="G1" s="34" t="str">
        <x:v>ISTAT_FLAG</x:v>
      </x:c>
      <x:c r="H1" s="34" t="str">
        <x:v>CAPACITY_OBS_STATUS</x:v>
      </x:c>
      <x:c r="J1" s="44" t="str">
        <x:v>PARAMETER</x:v>
      </x:c>
      <x:c r="K1" s="44" t="str">
        <x:v>VALUE</x:v>
      </x:c>
    </x:row>
    <x:row r="2">
      <x:c r="A2" s="20" t="str">
        <x:v>030001</x:v>
      </x:c>
      <x:c r="B2" s="21" t="str">
        <x:v>Aiello del Friuli</x:v>
      </x:c>
      <x:c r="C2" s="22" t="n">
        <x:v>1805</x:v>
      </x:c>
      <x:c r="D2" s="22" t="n">
        <x:v>53</x:v>
      </x:c>
      <x:c r="E2" s="21" t="str">
        <x:v>OBSERVED</x:v>
      </x:c>
      <x:c r="F2" s="23" t="n">
        <x:f>IF(E2="OBSERVED",C2,IF(E2="ZERO_CAPACITY",0,$K$4*D2/$K$5))</x:f>
        <x:v>1805</x:v>
      </x:c>
      <x:c r="G2" s="21" t="str"/>
      <x:c r="H2" s="21" t="str"/>
      <x:c r="J2" s="21" t="str">
        <x:v>REGIONAL_TOTAL_2024</x:v>
      </x:c>
      <x:c r="K2" s="21" t="n">
        <x:v>10143980</x:v>
      </x:c>
    </x:row>
    <x:row r="3">
      <x:c r="A3" s="20" t="str">
        <x:v>030002</x:v>
      </x:c>
      <x:c r="B3" s="21" t="str">
        <x:v>Amaro</x:v>
      </x:c>
      <x:c r="C3" s="22"/>
      <x:c r="D3" s="22" t="n">
        <x:v>15</x:v>
      </x:c>
      <x:c r="E3" s="21" t="str">
        <x:v>IMPUTED_BEDS_RESIDUAL</x:v>
      </x:c>
      <x:c r="F3" s="23" t="n">
        <x:f>IF(E3="OBSERVED",C3,IF(E3="ZERO_CAPACITY",0,$K$4*D3/$K$5))</x:f>
        <x:v>237.45762711864407</x:v>
      </x:c>
      <x:c r="G3" s="21" t="str"/>
      <x:c r="H3" s="21" t="str"/>
      <x:c r="J3" s="21" t="str">
        <x:v>OBSERVED_SUM_178</x:v>
      </x:c>
      <x:c r="K3" s="21" t="n">
        <x:v>10129036</x:v>
      </x:c>
    </x:row>
    <x:row r="4">
      <x:c r="A4" s="20" t="str">
        <x:v>030003</x:v>
      </x:c>
      <x:c r="B4" s="21" t="str">
        <x:v>Ampezzo</x:v>
      </x:c>
      <x:c r="C4" s="22" t="n">
        <x:v>8652</x:v>
      </x:c>
      <x:c r="D4" s="22" t="n">
        <x:v>294</x:v>
      </x:c>
      <x:c r="E4" s="21" t="str">
        <x:v>OBSERVED</x:v>
      </x:c>
      <x:c r="F4" s="23" t="n">
        <x:f>IF(E4="OBSERVED",C4,IF(E4="ZERO_CAPACITY",0,$K$4*D4/$K$5))</x:f>
        <x:v>8652</x:v>
      </x:c>
      <x:c r="G4" s="21" t="str"/>
      <x:c r="H4" s="21" t="str"/>
      <x:c r="J4" s="21" t="str">
        <x:v>RESIDUAL_TO_ALLOCATE</x:v>
      </x:c>
      <x:c r="K4" s="21" t="n">
        <x:v>14944</x:v>
      </x:c>
    </x:row>
    <x:row r="5">
      <x:c r="A5" s="20" t="str">
        <x:v>030004</x:v>
      </x:c>
      <x:c r="B5" s="21" t="str">
        <x:v>Aquileia</x:v>
      </x:c>
      <x:c r="C5" s="22" t="n">
        <x:v>138211</x:v>
      </x:c>
      <x:c r="D5" s="22" t="n">
        <x:v>3163</x:v>
      </x:c>
      <x:c r="E5" s="21" t="str">
        <x:v>OBSERVED</x:v>
      </x:c>
      <x:c r="F5" s="23" t="n">
        <x:f>IF(E5="OBSERVED",C5,IF(E5="ZERO_CAPACITY",0,$K$4*D5/$K$5))</x:f>
        <x:v>138211</x:v>
      </x:c>
      <x:c r="G5" s="21" t="str"/>
      <x:c r="H5" s="21" t="str"/>
      <x:c r="J5" s="21" t="str">
        <x:v>IMPUTABLE_BEDS_35</x:v>
      </x:c>
      <x:c r="K5" s="21" t="n">
        <x:v>944</x:v>
      </x:c>
    </x:row>
    <x:row r="6">
      <x:c r="A6" s="20" t="str">
        <x:v>030005</x:v>
      </x:c>
      <x:c r="B6" s="21" t="str">
        <x:v>Arta Terme</x:v>
      </x:c>
      <x:c r="C6" s="22" t="n">
        <x:v>64705</x:v>
      </x:c>
      <x:c r="D6" s="22" t="n">
        <x:v>849</x:v>
      </x:c>
      <x:c r="E6" s="21" t="str">
        <x:v>OBSERVED</x:v>
      </x:c>
      <x:c r="F6" s="23" t="n">
        <x:f>IF(E6="OBSERVED",C6,IF(E6="ZERO_CAPACITY",0,$K$4*D6/$K$5))</x:f>
        <x:v>64705</x:v>
      </x:c>
      <x:c r="G6" s="21" t="str"/>
      <x:c r="H6" s="21" t="str"/>
      <x:c r="J6" s="21" t="str">
        <x:v>IMPUTATION_RULE</x:v>
      </x:c>
      <x:c r="K6" s="21" t="str">
        <x:v>14944 * BEDS_j / 944</x:v>
      </x:c>
    </x:row>
    <x:row r="7">
      <x:c r="A7" s="20" t="str">
        <x:v>030006</x:v>
      </x:c>
      <x:c r="B7" s="21" t="str">
        <x:v>Artegna</x:v>
      </x:c>
      <x:c r="C7" s="22" t="n">
        <x:v>4572</x:v>
      </x:c>
      <x:c r="D7" s="22" t="n">
        <x:v>64</x:v>
      </x:c>
      <x:c r="E7" s="21" t="str">
        <x:v>OBSERVED</x:v>
      </x:c>
      <x:c r="F7" s="23" t="n">
        <x:f>IF(E7="OBSERVED",C7,IF(E7="ZERO_CAPACITY",0,$K$4*D7/$K$5))</x:f>
        <x:v>4572</x:v>
      </x:c>
      <x:c r="G7" s="21" t="str"/>
      <x:c r="H7" s="21" t="str"/>
      <x:c r="J7" s="21" t="str">
        <x:v>SOURCE_URL</x:v>
      </x:c>
      <x:c r="K7" s="21" t="str">
        <x:v>https://esploradati.istat.it/databrowser/#/it/dw/categories/IT1,Z0700SER,1.0/SER_TOURISM</x:v>
      </x:c>
    </x:row>
    <x:row r="8">
      <x:c r="A8" s="20" t="str">
        <x:v>030007</x:v>
      </x:c>
      <x:c r="B8" s="21" t="str">
        <x:v>Attimis</x:v>
      </x:c>
      <x:c r="C8" s="22" t="n">
        <x:v>231</x:v>
      </x:c>
      <x:c r="D8" s="22" t="n">
        <x:v>142</x:v>
      </x:c>
      <x:c r="E8" s="21" t="str">
        <x:v>OBSERVED</x:v>
      </x:c>
      <x:c r="F8" s="23" t="n">
        <x:f>IF(E8="OBSERVED",C8,IF(E8="ZERO_CAPACITY",0,$K$4*D8/$K$5))</x:f>
        <x:v>231</x:v>
      </x:c>
      <x:c r="G8" s="21" t="str"/>
      <x:c r="H8" s="21" t="str"/>
    </x:row>
    <x:row r="9">
      <x:c r="A9" s="20" t="str">
        <x:v>030008</x:v>
      </x:c>
      <x:c r="B9" s="21" t="str">
        <x:v>Bagnaria Arsa</x:v>
      </x:c>
      <x:c r="C9" s="22" t="n">
        <x:v>7725</x:v>
      </x:c>
      <x:c r="D9" s="22" t="n">
        <x:v>129</x:v>
      </x:c>
      <x:c r="E9" s="21" t="str">
        <x:v>OBSERVED</x:v>
      </x:c>
      <x:c r="F9" s="23" t="n">
        <x:f>IF(E9="OBSERVED",C9,IF(E9="ZERO_CAPACITY",0,$K$4*D9/$K$5))</x:f>
        <x:v>7725</x:v>
      </x:c>
      <x:c r="G9" s="21" t="str"/>
      <x:c r="H9" s="21" t="str"/>
    </x:row>
    <x:row r="10">
      <x:c r="A10" s="20" t="str">
        <x:v>030009</x:v>
      </x:c>
      <x:c r="B10" s="21" t="str">
        <x:v>Basiliano</x:v>
      </x:c>
      <x:c r="C10" s="22"/>
      <x:c r="D10" s="22" t="n">
        <x:v>33</x:v>
      </x:c>
      <x:c r="E10" s="21" t="str">
        <x:v>IMPUTED_BEDS_RESIDUAL</x:v>
      </x:c>
      <x:c r="F10" s="23" t="n">
        <x:f>IF(E10="OBSERVED",C10,IF(E10="ZERO_CAPACITY",0,$K$4*D10/$K$5))</x:f>
        <x:v>522.4067796610169</x:v>
      </x:c>
      <x:c r="G10" s="21" t="str"/>
      <x:c r="H10" s="21" t="str"/>
    </x:row>
    <x:row r="11">
      <x:c r="A11" s="20" t="str">
        <x:v>030010</x:v>
      </x:c>
      <x:c r="B11" s="21" t="str">
        <x:v>Bertiolo</x:v>
      </x:c>
      <x:c r="C11" s="22" t="n">
        <x:v>383</x:v>
      </x:c>
      <x:c r="D11" s="22" t="n">
        <x:v>34</x:v>
      </x:c>
      <x:c r="E11" s="21" t="str">
        <x:v>OBSERVED</x:v>
      </x:c>
      <x:c r="F11" s="23" t="n">
        <x:f>IF(E11="OBSERVED",C11,IF(E11="ZERO_CAPACITY",0,$K$4*D11/$K$5))</x:f>
        <x:v>383</x:v>
      </x:c>
      <x:c r="G11" s="21" t="str"/>
      <x:c r="H11" s="21" t="str"/>
    </x:row>
    <x:row r="12">
      <x:c r="A12" s="20" t="str">
        <x:v>030011</x:v>
      </x:c>
      <x:c r="B12" s="21" t="str">
        <x:v>Bicinicco</x:v>
      </x:c>
      <x:c r="C12" s="22"/>
      <x:c r="D12" s="22" t="n">
        <x:v>4</x:v>
      </x:c>
      <x:c r="E12" s="21" t="str">
        <x:v>IMPUTED_BEDS_RESIDUAL</x:v>
      </x:c>
      <x:c r="F12" s="23" t="n">
        <x:f>IF(E12="OBSERVED",C12,IF(E12="ZERO_CAPACITY",0,$K$4*D12/$K$5))</x:f>
        <x:v>63.32203389830509</x:v>
      </x:c>
      <x:c r="G12" s="21" t="str"/>
      <x:c r="H12" s="21" t="str"/>
    </x:row>
    <x:row r="13">
      <x:c r="A13" s="20" t="str">
        <x:v>030012</x:v>
      </x:c>
      <x:c r="B13" s="21" t="str">
        <x:v>Bordano</x:v>
      </x:c>
      <x:c r="C13" s="22"/>
      <x:c r="D13" s="22" t="n">
        <x:v>25</x:v>
      </x:c>
      <x:c r="E13" s="21" t="str">
        <x:v>IMPUTED_BEDS_RESIDUAL</x:v>
      </x:c>
      <x:c r="F13" s="23" t="n">
        <x:f>IF(E13="OBSERVED",C13,IF(E13="ZERO_CAPACITY",0,$K$4*D13/$K$5))</x:f>
        <x:v>395.76271186440675</x:v>
      </x:c>
      <x:c r="G13" s="21" t="str"/>
      <x:c r="H13" s="21" t="str"/>
    </x:row>
    <x:row r="14">
      <x:c r="A14" s="20" t="str">
        <x:v>030013</x:v>
      </x:c>
      <x:c r="B14" s="21" t="str">
        <x:v>Buja</x:v>
      </x:c>
      <x:c r="C14" s="22" t="n">
        <x:v>4307</x:v>
      </x:c>
      <x:c r="D14" s="22" t="n">
        <x:v>91</x:v>
      </x:c>
      <x:c r="E14" s="21" t="str">
        <x:v>OBSERVED</x:v>
      </x:c>
      <x:c r="F14" s="23" t="n">
        <x:f>IF(E14="OBSERVED",C14,IF(E14="ZERO_CAPACITY",0,$K$4*D14/$K$5))</x:f>
        <x:v>4307</x:v>
      </x:c>
      <x:c r="G14" s="21" t="str"/>
      <x:c r="H14" s="21" t="str"/>
    </x:row>
    <x:row r="15">
      <x:c r="A15" s="20" t="str">
        <x:v>030014</x:v>
      </x:c>
      <x:c r="B15" s="21" t="str">
        <x:v>Buttrio</x:v>
      </x:c>
      <x:c r="C15" s="22" t="n">
        <x:v>51386</x:v>
      </x:c>
      <x:c r="D15" s="22" t="n">
        <x:v>352</x:v>
      </x:c>
      <x:c r="E15" s="21" t="str">
        <x:v>OBSERVED</x:v>
      </x:c>
      <x:c r="F15" s="23" t="n">
        <x:f>IF(E15="OBSERVED",C15,IF(E15="ZERO_CAPACITY",0,$K$4*D15/$K$5))</x:f>
        <x:v>51386</x:v>
      </x:c>
      <x:c r="G15" s="21" t="str"/>
      <x:c r="H15" s="21" t="str"/>
    </x:row>
    <x:row r="16">
      <x:c r="A16" s="20" t="str">
        <x:v>030015</x:v>
      </x:c>
      <x:c r="B16" s="21" t="str">
        <x:v>Camino al Tagliamento</x:v>
      </x:c>
      <x:c r="C16" s="22" t="n">
        <x:v>1102</x:v>
      </x:c>
      <x:c r="D16" s="22" t="n">
        <x:v>87</x:v>
      </x:c>
      <x:c r="E16" s="21" t="str">
        <x:v>OBSERVED</x:v>
      </x:c>
      <x:c r="F16" s="23" t="n">
        <x:f>IF(E16="OBSERVED",C16,IF(E16="ZERO_CAPACITY",0,$K$4*D16/$K$5))</x:f>
        <x:v>1102</x:v>
      </x:c>
      <x:c r="G16" s="21" t="str"/>
      <x:c r="H16" s="21" t="str"/>
    </x:row>
    <x:row r="17">
      <x:c r="A17" s="20" t="str">
        <x:v>030016</x:v>
      </x:c>
      <x:c r="B17" s="21" t="str">
        <x:v>Campoformido</x:v>
      </x:c>
      <x:c r="C17" s="22" t="n">
        <x:v>1458</x:v>
      </x:c>
      <x:c r="D17" s="22" t="n">
        <x:v>46</x:v>
      </x:c>
      <x:c r="E17" s="21" t="str">
        <x:v>OBSERVED</x:v>
      </x:c>
      <x:c r="F17" s="23" t="n">
        <x:f>IF(E17="OBSERVED",C17,IF(E17="ZERO_CAPACITY",0,$K$4*D17/$K$5))</x:f>
        <x:v>1458</x:v>
      </x:c>
      <x:c r="G17" s="21" t="str"/>
      <x:c r="H17" s="21" t="str"/>
    </x:row>
    <x:row r="18">
      <x:c r="A18" s="20" t="str">
        <x:v>030018</x:v>
      </x:c>
      <x:c r="B18" s="21" t="str">
        <x:v>Carlino</x:v>
      </x:c>
      <x:c r="C18" s="22"/>
      <x:c r="D18" s="22" t="n">
        <x:v>49</x:v>
      </x:c>
      <x:c r="E18" s="21" t="str">
        <x:v>IMPUTED_BEDS_RESIDUAL</x:v>
      </x:c>
      <x:c r="F18" s="23" t="n">
        <x:f>IF(E18="OBSERVED",C18,IF(E18="ZERO_CAPACITY",0,$K$4*D18/$K$5))</x:f>
        <x:v>775.6949152542373</x:v>
      </x:c>
      <x:c r="G18" s="21" t="str"/>
      <x:c r="H18" s="21" t="str"/>
    </x:row>
    <x:row r="19">
      <x:c r="A19" s="20" t="str">
        <x:v>030019</x:v>
      </x:c>
      <x:c r="B19" s="21" t="str">
        <x:v>Cassacco</x:v>
      </x:c>
      <x:c r="C19" s="22" t="n">
        <x:v>208</x:v>
      </x:c>
      <x:c r="D19" s="22" t="n">
        <x:v>90</x:v>
      </x:c>
      <x:c r="E19" s="21" t="str">
        <x:v>OBSERVED</x:v>
      </x:c>
      <x:c r="F19" s="23" t="n">
        <x:f>IF(E19="OBSERVED",C19,IF(E19="ZERO_CAPACITY",0,$K$4*D19/$K$5))</x:f>
        <x:v>208</x:v>
      </x:c>
      <x:c r="G19" s="21" t="str"/>
      <x:c r="H19" s="21" t="str"/>
    </x:row>
    <x:row r="20">
      <x:c r="A20" s="20" t="str">
        <x:v>030020</x:v>
      </x:c>
      <x:c r="B20" s="21" t="str">
        <x:v>Castions di Strada</x:v>
      </x:c>
      <x:c r="C20" s="22" t="n">
        <x:v>807</x:v>
      </x:c>
      <x:c r="D20" s="22" t="n">
        <x:v>33</x:v>
      </x:c>
      <x:c r="E20" s="21" t="str">
        <x:v>OBSERVED</x:v>
      </x:c>
      <x:c r="F20" s="23" t="n">
        <x:f>IF(E20="OBSERVED",C20,IF(E20="ZERO_CAPACITY",0,$K$4*D20/$K$5))</x:f>
        <x:v>807</x:v>
      </x:c>
      <x:c r="G20" s="21" t="str"/>
      <x:c r="H20" s="21" t="str"/>
    </x:row>
    <x:row r="21">
      <x:c r="A21" s="20" t="str">
        <x:v>030021</x:v>
      </x:c>
      <x:c r="B21" s="21" t="str">
        <x:v>Cavazzo Carnico</x:v>
      </x:c>
      <x:c r="C21" s="22" t="n">
        <x:v>5008</x:v>
      </x:c>
      <x:c r="D21" s="22" t="n">
        <x:v>158</x:v>
      </x:c>
      <x:c r="E21" s="21" t="str">
        <x:v>OBSERVED</x:v>
      </x:c>
      <x:c r="F21" s="23" t="n">
        <x:f>IF(E21="OBSERVED",C21,IF(E21="ZERO_CAPACITY",0,$K$4*D21/$K$5))</x:f>
        <x:v>5008</x:v>
      </x:c>
      <x:c r="G21" s="21" t="str"/>
      <x:c r="H21" s="21" t="str"/>
    </x:row>
    <x:row r="22">
      <x:c r="A22" s="20" t="str">
        <x:v>030022</x:v>
      </x:c>
      <x:c r="B22" s="21" t="str">
        <x:v>Cercivento</x:v>
      </x:c>
      <x:c r="C22" s="22" t="n">
        <x:v>1843</x:v>
      </x:c>
      <x:c r="D22" s="22" t="n">
        <x:v>88</x:v>
      </x:c>
      <x:c r="E22" s="21" t="str">
        <x:v>OBSERVED</x:v>
      </x:c>
      <x:c r="F22" s="23" t="n">
        <x:f>IF(E22="OBSERVED",C22,IF(E22="ZERO_CAPACITY",0,$K$4*D22/$K$5))</x:f>
        <x:v>1843</x:v>
      </x:c>
      <x:c r="G22" s="21" t="str"/>
      <x:c r="H22" s="21" t="str"/>
    </x:row>
    <x:row r="23">
      <x:c r="A23" s="20" t="str">
        <x:v>030023</x:v>
      </x:c>
      <x:c r="B23" s="21" t="str">
        <x:v>Cervignano del Friuli</x:v>
      </x:c>
      <x:c r="C23" s="22" t="n">
        <x:v>42983</x:v>
      </x:c>
      <x:c r="D23" s="22" t="n">
        <x:v>467</x:v>
      </x:c>
      <x:c r="E23" s="21" t="str">
        <x:v>OBSERVED</x:v>
      </x:c>
      <x:c r="F23" s="23" t="n">
        <x:f>IF(E23="OBSERVED",C23,IF(E23="ZERO_CAPACITY",0,$K$4*D23/$K$5))</x:f>
        <x:v>42983</x:v>
      </x:c>
      <x:c r="G23" s="21" t="str"/>
      <x:c r="H23" s="21" t="str"/>
    </x:row>
    <x:row r="24">
      <x:c r="A24" s="20" t="str">
        <x:v>030024</x:v>
      </x:c>
      <x:c r="B24" s="21" t="str">
        <x:v>Chiopris-Viscone</x:v>
      </x:c>
      <x:c r="C24" s="22"/>
      <x:c r="D24" s="22" t="n">
        <x:v>23</x:v>
      </x:c>
      <x:c r="E24" s="21" t="str">
        <x:v>IMPUTED_BEDS_RESIDUAL</x:v>
      </x:c>
      <x:c r="F24" s="23" t="n">
        <x:f>IF(E24="OBSERVED",C24,IF(E24="ZERO_CAPACITY",0,$K$4*D24/$K$5))</x:f>
        <x:v>364.10169491525426</x:v>
      </x:c>
      <x:c r="G24" s="21" t="str"/>
      <x:c r="H24" s="21" t="str"/>
    </x:row>
    <x:row r="25">
      <x:c r="A25" s="20" t="str">
        <x:v>030025</x:v>
      </x:c>
      <x:c r="B25" s="21" t="str">
        <x:v>Chiusaforte</x:v>
      </x:c>
      <x:c r="C25" s="22" t="n">
        <x:v>9988</x:v>
      </x:c>
      <x:c r="D25" s="22" t="n">
        <x:v>775</x:v>
      </x:c>
      <x:c r="E25" s="21" t="str">
        <x:v>OBSERVED</x:v>
      </x:c>
      <x:c r="F25" s="23" t="n">
        <x:f>IF(E25="OBSERVED",C25,IF(E25="ZERO_CAPACITY",0,$K$4*D25/$K$5))</x:f>
        <x:v>9988</x:v>
      </x:c>
      <x:c r="G25" s="21" t="str"/>
      <x:c r="H25" s="21" t="str"/>
    </x:row>
    <x:row r="26">
      <x:c r="A26" s="20" t="str">
        <x:v>030026</x:v>
      </x:c>
      <x:c r="B26" s="21" t="str">
        <x:v>Cividale del Friuli</x:v>
      </x:c>
      <x:c r="C26" s="22" t="n">
        <x:v>55322</x:v>
      </x:c>
      <x:c r="D26" s="22" t="n">
        <x:v>993</x:v>
      </x:c>
      <x:c r="E26" s="21" t="str">
        <x:v>OBSERVED</x:v>
      </x:c>
      <x:c r="F26" s="23" t="n">
        <x:f>IF(E26="OBSERVED",C26,IF(E26="ZERO_CAPACITY",0,$K$4*D26/$K$5))</x:f>
        <x:v>55322</x:v>
      </x:c>
      <x:c r="G26" s="21" t="str"/>
      <x:c r="H26" s="21" t="str"/>
    </x:row>
    <x:row r="27">
      <x:c r="A27" s="20" t="str">
        <x:v>030027</x:v>
      </x:c>
      <x:c r="B27" s="21" t="str">
        <x:v>Codroipo</x:v>
      </x:c>
      <x:c r="C27" s="22" t="n">
        <x:v>40001</x:v>
      </x:c>
      <x:c r="D27" s="22" t="n">
        <x:v>385</x:v>
      </x:c>
      <x:c r="E27" s="21" t="str">
        <x:v>OBSERVED</x:v>
      </x:c>
      <x:c r="F27" s="23" t="n">
        <x:f>IF(E27="OBSERVED",C27,IF(E27="ZERO_CAPACITY",0,$K$4*D27/$K$5))</x:f>
        <x:v>40001</x:v>
      </x:c>
      <x:c r="G27" s="21" t="str"/>
      <x:c r="H27" s="21" t="str"/>
    </x:row>
    <x:row r="28">
      <x:c r="A28" s="20" t="str">
        <x:v>030028</x:v>
      </x:c>
      <x:c r="B28" s="21" t="str">
        <x:v>Colloredo di Monte Albano</x:v>
      </x:c>
      <x:c r="C28" s="22" t="n">
        <x:v>391</x:v>
      </x:c>
      <x:c r="D28" s="22" t="n">
        <x:v>29</x:v>
      </x:c>
      <x:c r="E28" s="21" t="str">
        <x:v>OBSERVED</x:v>
      </x:c>
      <x:c r="F28" s="23" t="n">
        <x:f>IF(E28="OBSERVED",C28,IF(E28="ZERO_CAPACITY",0,$K$4*D28/$K$5))</x:f>
        <x:v>391</x:v>
      </x:c>
      <x:c r="G28" s="21" t="str"/>
      <x:c r="H28" s="21" t="str"/>
    </x:row>
    <x:row r="29">
      <x:c r="A29" s="20" t="str">
        <x:v>030029</x:v>
      </x:c>
      <x:c r="B29" s="21" t="str">
        <x:v>Comeglians</x:v>
      </x:c>
      <x:c r="C29" s="22" t="n">
        <x:v>31944</x:v>
      </x:c>
      <x:c r="D29" s="22" t="n">
        <x:v>330</x:v>
      </x:c>
      <x:c r="E29" s="21" t="str">
        <x:v>OBSERVED</x:v>
      </x:c>
      <x:c r="F29" s="23" t="n">
        <x:f>IF(E29="OBSERVED",C29,IF(E29="ZERO_CAPACITY",0,$K$4*D29/$K$5))</x:f>
        <x:v>31944</x:v>
      </x:c>
      <x:c r="G29" s="21" t="str"/>
      <x:c r="H29" s="21" t="str"/>
    </x:row>
    <x:row r="30">
      <x:c r="A30" s="20" t="str">
        <x:v>030030</x:v>
      </x:c>
      <x:c r="B30" s="21" t="str">
        <x:v>Corno di Rosazzo</x:v>
      </x:c>
      <x:c r="C30" s="22" t="n">
        <x:v>6245</x:v>
      </x:c>
      <x:c r="D30" s="22" t="n">
        <x:v>129</x:v>
      </x:c>
      <x:c r="E30" s="21" t="str">
        <x:v>OBSERVED</x:v>
      </x:c>
      <x:c r="F30" s="23" t="n">
        <x:f>IF(E30="OBSERVED",C30,IF(E30="ZERO_CAPACITY",0,$K$4*D30/$K$5))</x:f>
        <x:v>6245</x:v>
      </x:c>
      <x:c r="G30" s="21" t="str"/>
      <x:c r="H30" s="21" t="str"/>
    </x:row>
    <x:row r="31">
      <x:c r="A31" s="20" t="str">
        <x:v>030031</x:v>
      </x:c>
      <x:c r="B31" s="21" t="str">
        <x:v>Coseano</x:v>
      </x:c>
      <x:c r="C31" s="22" t="n">
        <x:v>3323</x:v>
      </x:c>
      <x:c r="D31" s="22" t="n">
        <x:v>38</x:v>
      </x:c>
      <x:c r="E31" s="21" t="str">
        <x:v>OBSERVED</x:v>
      </x:c>
      <x:c r="F31" s="23" t="n">
        <x:f>IF(E31="OBSERVED",C31,IF(E31="ZERO_CAPACITY",0,$K$4*D31/$K$5))</x:f>
        <x:v>3323</x:v>
      </x:c>
      <x:c r="G31" s="21" t="str"/>
      <x:c r="H31" s="21" t="str"/>
    </x:row>
    <x:row r="32">
      <x:c r="A32" s="20" t="str">
        <x:v>030032</x:v>
      </x:c>
      <x:c r="B32" s="21" t="str">
        <x:v>Dignano</x:v>
      </x:c>
      <x:c r="C32" s="22"/>
      <x:c r="D32" s="22" t="n">
        <x:v>20</x:v>
      </x:c>
      <x:c r="E32" s="21" t="str">
        <x:v>IMPUTED_BEDS_RESIDUAL</x:v>
      </x:c>
      <x:c r="F32" s="23" t="n">
        <x:f>IF(E32="OBSERVED",C32,IF(E32="ZERO_CAPACITY",0,$K$4*D32/$K$5))</x:f>
        <x:v>316.6101694915254</x:v>
      </x:c>
      <x:c r="G32" s="21" t="str"/>
      <x:c r="H32" s="21" t="str"/>
    </x:row>
    <x:row r="33">
      <x:c r="A33" s="20" t="str">
        <x:v>030033</x:v>
      </x:c>
      <x:c r="B33" s="21" t="str">
        <x:v>Dogna</x:v>
      </x:c>
      <x:c r="C33" s="22" t="n">
        <x:v>1901</x:v>
      </x:c>
      <x:c r="D33" s="22" t="n">
        <x:v>60</x:v>
      </x:c>
      <x:c r="E33" s="21" t="str">
        <x:v>OBSERVED</x:v>
      </x:c>
      <x:c r="F33" s="23" t="n">
        <x:f>IF(E33="OBSERVED",C33,IF(E33="ZERO_CAPACITY",0,$K$4*D33/$K$5))</x:f>
        <x:v>1901</x:v>
      </x:c>
      <x:c r="G33" s="21" t="str"/>
      <x:c r="H33" s="21" t="str"/>
    </x:row>
    <x:row r="34">
      <x:c r="A34" s="20" t="str">
        <x:v>030034</x:v>
      </x:c>
      <x:c r="B34" s="21" t="str">
        <x:v>Drenchia</x:v>
      </x:c>
      <x:c r="C34" s="22"/>
      <x:c r="D34" s="22" t="n">
        <x:v>24</x:v>
      </x:c>
      <x:c r="E34" s="21" t="str">
        <x:v>IMPUTED_BEDS_RESIDUAL</x:v>
      </x:c>
      <x:c r="F34" s="23" t="n">
        <x:f>IF(E34="OBSERVED",C34,IF(E34="ZERO_CAPACITY",0,$K$4*D34/$K$5))</x:f>
        <x:v>379.93220338983053</x:v>
      </x:c>
      <x:c r="G34" s="21" t="str"/>
      <x:c r="H34" s="21" t="str"/>
    </x:row>
    <x:row r="35">
      <x:c r="A35" s="20" t="str">
        <x:v>030035</x:v>
      </x:c>
      <x:c r="B35" s="21" t="str">
        <x:v>Enemonzo</x:v>
      </x:c>
      <x:c r="C35" s="22" t="n">
        <x:v>2520</x:v>
      </x:c>
      <x:c r="D35" s="22" t="n">
        <x:v>36</x:v>
      </x:c>
      <x:c r="E35" s="21" t="str">
        <x:v>OBSERVED</x:v>
      </x:c>
      <x:c r="F35" s="23" t="n">
        <x:f>IF(E35="OBSERVED",C35,IF(E35="ZERO_CAPACITY",0,$K$4*D35/$K$5))</x:f>
        <x:v>2520</x:v>
      </x:c>
      <x:c r="G35" s="21" t="str"/>
      <x:c r="H35" s="21" t="str"/>
    </x:row>
    <x:row r="36">
      <x:c r="A36" s="20" t="str">
        <x:v>030036</x:v>
      </x:c>
      <x:c r="B36" s="21" t="str">
        <x:v>Faedis</x:v>
      </x:c>
      <x:c r="C36" s="22" t="n">
        <x:v>2162</x:v>
      </x:c>
      <x:c r="D36" s="22" t="n">
        <x:v>214</x:v>
      </x:c>
      <x:c r="E36" s="21" t="str">
        <x:v>OBSERVED</x:v>
      </x:c>
      <x:c r="F36" s="23" t="n">
        <x:f>IF(E36="OBSERVED",C36,IF(E36="ZERO_CAPACITY",0,$K$4*D36/$K$5))</x:f>
        <x:v>2162</x:v>
      </x:c>
      <x:c r="G36" s="21" t="str"/>
      <x:c r="H36" s="21" t="str"/>
    </x:row>
    <x:row r="37">
      <x:c r="A37" s="20" t="str">
        <x:v>030037</x:v>
      </x:c>
      <x:c r="B37" s="21" t="str">
        <x:v>Fagagna</x:v>
      </x:c>
      <x:c r="C37" s="22" t="n">
        <x:v>29316</x:v>
      </x:c>
      <x:c r="D37" s="22" t="n">
        <x:v>386</x:v>
      </x:c>
      <x:c r="E37" s="21" t="str">
        <x:v>OBSERVED</x:v>
      </x:c>
      <x:c r="F37" s="23" t="n">
        <x:f>IF(E37="OBSERVED",C37,IF(E37="ZERO_CAPACITY",0,$K$4*D37/$K$5))</x:f>
        <x:v>29316</x:v>
      </x:c>
      <x:c r="G37" s="21" t="str"/>
      <x:c r="H37" s="21" t="str"/>
    </x:row>
    <x:row r="38">
      <x:c r="A38" s="20" t="str">
        <x:v>030039</x:v>
      </x:c>
      <x:c r="B38" s="21" t="str">
        <x:v>Flaibano</x:v>
      </x:c>
      <x:c r="C38" s="22"/>
      <x:c r="D38" s="22" t="n">
        <x:v>19</x:v>
      </x:c>
      <x:c r="E38" s="21" t="str">
        <x:v>IMPUTED_BEDS_RESIDUAL</x:v>
      </x:c>
      <x:c r="F38" s="23" t="n">
        <x:f>IF(E38="OBSERVED",C38,IF(E38="ZERO_CAPACITY",0,$K$4*D38/$K$5))</x:f>
        <x:v>300.77966101694915</x:v>
      </x:c>
      <x:c r="G38" s="21" t="str"/>
      <x:c r="H38" s="21" t="str"/>
    </x:row>
    <x:row r="39">
      <x:c r="A39" s="20" t="str">
        <x:v>030040</x:v>
      </x:c>
      <x:c r="B39" s="21" t="str">
        <x:v>Forni Avoltri</x:v>
      </x:c>
      <x:c r="C39" s="22" t="n">
        <x:v>95039</x:v>
      </x:c>
      <x:c r="D39" s="22" t="n">
        <x:v>2001</x:v>
      </x:c>
      <x:c r="E39" s="21" t="str">
        <x:v>OBSERVED</x:v>
      </x:c>
      <x:c r="F39" s="23" t="n">
        <x:f>IF(E39="OBSERVED",C39,IF(E39="ZERO_CAPACITY",0,$K$4*D39/$K$5))</x:f>
        <x:v>95039</x:v>
      </x:c>
      <x:c r="G39" s="21" t="str"/>
      <x:c r="H39" s="21" t="str"/>
    </x:row>
    <x:row r="40">
      <x:c r="A40" s="20" t="str">
        <x:v>030041</x:v>
      </x:c>
      <x:c r="B40" s="21" t="str">
        <x:v>Forni di Sopra</x:v>
      </x:c>
      <x:c r="C40" s="22" t="n">
        <x:v>40807</x:v>
      </x:c>
      <x:c r="D40" s="22" t="n">
        <x:v>1321</x:v>
      </x:c>
      <x:c r="E40" s="21" t="str">
        <x:v>OBSERVED</x:v>
      </x:c>
      <x:c r="F40" s="23" t="n">
        <x:f>IF(E40="OBSERVED",C40,IF(E40="ZERO_CAPACITY",0,$K$4*D40/$K$5))</x:f>
        <x:v>40807</x:v>
      </x:c>
      <x:c r="G40" s="21" t="str"/>
      <x:c r="H40" s="21" t="str"/>
    </x:row>
    <x:row r="41">
      <x:c r="A41" s="20" t="str">
        <x:v>030042</x:v>
      </x:c>
      <x:c r="B41" s="21" t="str">
        <x:v>Forni di Sotto</x:v>
      </x:c>
      <x:c r="C41" s="22" t="n">
        <x:v>5091</x:v>
      </x:c>
      <x:c r="D41" s="22" t="n">
        <x:v>255</x:v>
      </x:c>
      <x:c r="E41" s="21" t="str">
        <x:v>OBSERVED</x:v>
      </x:c>
      <x:c r="F41" s="23" t="n">
        <x:f>IF(E41="OBSERVED",C41,IF(E41="ZERO_CAPACITY",0,$K$4*D41/$K$5))</x:f>
        <x:v>5091</x:v>
      </x:c>
      <x:c r="G41" s="21" t="str"/>
      <x:c r="H41" s="21" t="str"/>
    </x:row>
    <x:row r="42">
      <x:c r="A42" s="20" t="str">
        <x:v>030043</x:v>
      </x:c>
      <x:c r="B42" s="21" t="str">
        <x:v>Gemona del Friuli</x:v>
      </x:c>
      <x:c r="C42" s="22" t="n">
        <x:v>40468</x:v>
      </x:c>
      <x:c r="D42" s="22" t="n">
        <x:v>463</x:v>
      </x:c>
      <x:c r="E42" s="21" t="str">
        <x:v>OBSERVED</x:v>
      </x:c>
      <x:c r="F42" s="23" t="n">
        <x:f>IF(E42="OBSERVED",C42,IF(E42="ZERO_CAPACITY",0,$K$4*D42/$K$5))</x:f>
        <x:v>40468</x:v>
      </x:c>
      <x:c r="G42" s="21" t="str"/>
      <x:c r="H42" s="21" t="str"/>
    </x:row>
    <x:row r="43">
      <x:c r="A43" s="20" t="str">
        <x:v>030044</x:v>
      </x:c>
      <x:c r="B43" s="21" t="str">
        <x:v>Gonars</x:v>
      </x:c>
      <x:c r="C43" s="22" t="n">
        <x:v>2413</x:v>
      </x:c>
      <x:c r="D43" s="22" t="n">
        <x:v>41</x:v>
      </x:c>
      <x:c r="E43" s="21" t="str">
        <x:v>OBSERVED</x:v>
      </x:c>
      <x:c r="F43" s="23" t="n">
        <x:f>IF(E43="OBSERVED",C43,IF(E43="ZERO_CAPACITY",0,$K$4*D43/$K$5))</x:f>
        <x:v>2413</x:v>
      </x:c>
      <x:c r="G43" s="21" t="str"/>
      <x:c r="H43" s="21" t="str"/>
    </x:row>
    <x:row r="44">
      <x:c r="A44" s="20" t="str">
        <x:v>030045</x:v>
      </x:c>
      <x:c r="B44" s="21" t="str">
        <x:v>Grimacco</x:v>
      </x:c>
      <x:c r="C44" s="22" t="n">
        <x:v>3169</x:v>
      </x:c>
      <x:c r="D44" s="22" t="n">
        <x:v>169</x:v>
      </x:c>
      <x:c r="E44" s="21" t="str">
        <x:v>OBSERVED</x:v>
      </x:c>
      <x:c r="F44" s="23" t="n">
        <x:f>IF(E44="OBSERVED",C44,IF(E44="ZERO_CAPACITY",0,$K$4*D44/$K$5))</x:f>
        <x:v>3169</x:v>
      </x:c>
      <x:c r="G44" s="21" t="str"/>
      <x:c r="H44" s="21" t="str"/>
    </x:row>
    <x:row r="45">
      <x:c r="A45" s="20" t="str">
        <x:v>030046</x:v>
      </x:c>
      <x:c r="B45" s="21" t="str">
        <x:v>Latisana</x:v>
      </x:c>
      <x:c r="C45" s="22" t="n">
        <x:v>53444</x:v>
      </x:c>
      <x:c r="D45" s="22" t="n">
        <x:v>2203</x:v>
      </x:c>
      <x:c r="E45" s="21" t="str">
        <x:v>OBSERVED</x:v>
      </x:c>
      <x:c r="F45" s="23" t="n">
        <x:f>IF(E45="OBSERVED",C45,IF(E45="ZERO_CAPACITY",0,$K$4*D45/$K$5))</x:f>
        <x:v>53444</x:v>
      </x:c>
      <x:c r="G45" s="21" t="str"/>
      <x:c r="H45" s="21" t="str"/>
    </x:row>
    <x:row r="46">
      <x:c r="A46" s="20" t="str">
        <x:v>030047</x:v>
      </x:c>
      <x:c r="B46" s="21" t="str">
        <x:v>Lauco</x:v>
      </x:c>
      <x:c r="C46" s="22" t="n">
        <x:v>937</x:v>
      </x:c>
      <x:c r="D46" s="22" t="n">
        <x:v>131</x:v>
      </x:c>
      <x:c r="E46" s="21" t="str">
        <x:v>OBSERVED</x:v>
      </x:c>
      <x:c r="F46" s="23" t="n">
        <x:f>IF(E46="OBSERVED",C46,IF(E46="ZERO_CAPACITY",0,$K$4*D46/$K$5))</x:f>
        <x:v>937</x:v>
      </x:c>
      <x:c r="G46" s="21" t="str"/>
      <x:c r="H46" s="21" t="str"/>
    </x:row>
    <x:row r="47">
      <x:c r="A47" s="20" t="str">
        <x:v>030048</x:v>
      </x:c>
      <x:c r="B47" s="21" t="str">
        <x:v>Lestizza</x:v>
      </x:c>
      <x:c r="C47" s="22"/>
      <x:c r="D47" s="22" t="n">
        <x:v>19</x:v>
      </x:c>
      <x:c r="E47" s="21" t="str">
        <x:v>IMPUTED_BEDS_RESIDUAL</x:v>
      </x:c>
      <x:c r="F47" s="23" t="n">
        <x:f>IF(E47="OBSERVED",C47,IF(E47="ZERO_CAPACITY",0,$K$4*D47/$K$5))</x:f>
        <x:v>300.77966101694915</x:v>
      </x:c>
      <x:c r="G47" s="21" t="str"/>
      <x:c r="H47" s="21" t="str"/>
    </x:row>
    <x:row r="48">
      <x:c r="A48" s="20" t="str">
        <x:v>030049</x:v>
      </x:c>
      <x:c r="B48" s="21" t="str">
        <x:v>Lignano Sabbiadoro</x:v>
      </x:c>
      <x:c r="C48" s="22" t="n">
        <x:v>3618677</x:v>
      </x:c>
      <x:c r="D48" s="22" t="n">
        <x:v>70232</x:v>
      </x:c>
      <x:c r="E48" s="21" t="str">
        <x:v>OBSERVED</x:v>
      </x:c>
      <x:c r="F48" s="23" t="n">
        <x:f>IF(E48="OBSERVED",C48,IF(E48="ZERO_CAPACITY",0,$K$4*D48/$K$5))</x:f>
        <x:v>3618677</x:v>
      </x:c>
      <x:c r="G48" s="21" t="str"/>
      <x:c r="H48" s="21" t="str"/>
    </x:row>
    <x:row r="49">
      <x:c r="A49" s="20" t="str">
        <x:v>030051</x:v>
      </x:c>
      <x:c r="B49" s="21" t="str">
        <x:v>Lusevera</x:v>
      </x:c>
      <x:c r="C49" s="22" t="n">
        <x:v>1434</x:v>
      </x:c>
      <x:c r="D49" s="22" t="n">
        <x:v>118</x:v>
      </x:c>
      <x:c r="E49" s="21" t="str">
        <x:v>OBSERVED</x:v>
      </x:c>
      <x:c r="F49" s="23" t="n">
        <x:f>IF(E49="OBSERVED",C49,IF(E49="ZERO_CAPACITY",0,$K$4*D49/$K$5))</x:f>
        <x:v>1434</x:v>
      </x:c>
      <x:c r="G49" s="21" t="str"/>
      <x:c r="H49" s="21" t="str"/>
    </x:row>
    <x:row r="50">
      <x:c r="A50" s="20" t="str">
        <x:v>030052</x:v>
      </x:c>
      <x:c r="B50" s="21" t="str">
        <x:v>Magnano in Riviera</x:v>
      </x:c>
      <x:c r="C50" s="22" t="n">
        <x:v>109</x:v>
      </x:c>
      <x:c r="D50" s="22" t="n">
        <x:v>29</x:v>
      </x:c>
      <x:c r="E50" s="21" t="str">
        <x:v>OBSERVED</x:v>
      </x:c>
      <x:c r="F50" s="23" t="n">
        <x:f>IF(E50="OBSERVED",C50,IF(E50="ZERO_CAPACITY",0,$K$4*D50/$K$5))</x:f>
        <x:v>109</x:v>
      </x:c>
      <x:c r="G50" s="21" t="str"/>
      <x:c r="H50" s="21" t="str"/>
    </x:row>
    <x:row r="51">
      <x:c r="A51" s="20" t="str">
        <x:v>030053</x:v>
      </x:c>
      <x:c r="B51" s="21" t="str">
        <x:v>Majano</x:v>
      </x:c>
      <x:c r="C51" s="22" t="n">
        <x:v>2345</x:v>
      </x:c>
      <x:c r="D51" s="22" t="n">
        <x:v>135</x:v>
      </x:c>
      <x:c r="E51" s="21" t="str">
        <x:v>OBSERVED</x:v>
      </x:c>
      <x:c r="F51" s="23" t="n">
        <x:f>IF(E51="OBSERVED",C51,IF(E51="ZERO_CAPACITY",0,$K$4*D51/$K$5))</x:f>
        <x:v>2345</x:v>
      </x:c>
      <x:c r="G51" s="21" t="str"/>
      <x:c r="H51" s="21" t="str"/>
    </x:row>
    <x:row r="52">
      <x:c r="A52" s="20" t="str">
        <x:v>030054</x:v>
      </x:c>
      <x:c r="B52" s="21" t="str">
        <x:v>Malborghetto Valbruna</x:v>
      </x:c>
      <x:c r="C52" s="22" t="n">
        <x:v>33848</x:v>
      </x:c>
      <x:c r="D52" s="22" t="n">
        <x:v>913</x:v>
      </x:c>
      <x:c r="E52" s="21" t="str">
        <x:v>OBSERVED</x:v>
      </x:c>
      <x:c r="F52" s="23" t="n">
        <x:f>IF(E52="OBSERVED",C52,IF(E52="ZERO_CAPACITY",0,$K$4*D52/$K$5))</x:f>
        <x:v>33848</x:v>
      </x:c>
      <x:c r="G52" s="21" t="str"/>
      <x:c r="H52" s="21" t="str"/>
    </x:row>
    <x:row r="53">
      <x:c r="A53" s="20" t="str">
        <x:v>030055</x:v>
      </x:c>
      <x:c r="B53" s="21" t="str">
        <x:v>Manzano</x:v>
      </x:c>
      <x:c r="C53" s="22" t="n">
        <x:v>5931</x:v>
      </x:c>
      <x:c r="D53" s="22" t="n">
        <x:v>122</x:v>
      </x:c>
      <x:c r="E53" s="21" t="str">
        <x:v>OBSERVED</x:v>
      </x:c>
      <x:c r="F53" s="23" t="n">
        <x:f>IF(E53="OBSERVED",C53,IF(E53="ZERO_CAPACITY",0,$K$4*D53/$K$5))</x:f>
        <x:v>5931</x:v>
      </x:c>
      <x:c r="G53" s="21" t="str"/>
      <x:c r="H53" s="21" t="str"/>
    </x:row>
    <x:row r="54">
      <x:c r="A54" s="20" t="str">
        <x:v>030056</x:v>
      </x:c>
      <x:c r="B54" s="21" t="str">
        <x:v>Marano Lagunare</x:v>
      </x:c>
      <x:c r="C54" s="22" t="n">
        <x:v>13845</x:v>
      </x:c>
      <x:c r="D54" s="22" t="n">
        <x:v>178</x:v>
      </x:c>
      <x:c r="E54" s="21" t="str">
        <x:v>OBSERVED</x:v>
      </x:c>
      <x:c r="F54" s="23" t="n">
        <x:f>IF(E54="OBSERVED",C54,IF(E54="ZERO_CAPACITY",0,$K$4*D54/$K$5))</x:f>
        <x:v>13845</x:v>
      </x:c>
      <x:c r="G54" s="21" t="str"/>
      <x:c r="H54" s="21" t="str"/>
    </x:row>
    <x:row r="55">
      <x:c r="A55" s="20" t="str">
        <x:v>030057</x:v>
      </x:c>
      <x:c r="B55" s="21" t="str">
        <x:v>Martignacco</x:v>
      </x:c>
      <x:c r="C55" s="22" t="n">
        <x:v>4800</x:v>
      </x:c>
      <x:c r="D55" s="22" t="n">
        <x:v>75</x:v>
      </x:c>
      <x:c r="E55" s="21" t="str">
        <x:v>OBSERVED</x:v>
      </x:c>
      <x:c r="F55" s="23" t="n">
        <x:f>IF(E55="OBSERVED",C55,IF(E55="ZERO_CAPACITY",0,$K$4*D55/$K$5))</x:f>
        <x:v>4800</x:v>
      </x:c>
      <x:c r="G55" s="21" t="str"/>
      <x:c r="H55" s="21" t="str"/>
    </x:row>
    <x:row r="56">
      <x:c r="A56" s="20" t="str">
        <x:v>030058</x:v>
      </x:c>
      <x:c r="B56" s="21" t="str">
        <x:v>Mereto di Tomba</x:v>
      </x:c>
      <x:c r="C56" s="22"/>
      <x:c r="D56" s="22" t="n">
        <x:v>2</x:v>
      </x:c>
      <x:c r="E56" s="21" t="str">
        <x:v>IMPUTED_BEDS_RESIDUAL</x:v>
      </x:c>
      <x:c r="F56" s="23" t="n">
        <x:f>IF(E56="OBSERVED",C56,IF(E56="ZERO_CAPACITY",0,$K$4*D56/$K$5))</x:f>
        <x:v>31.661016949152543</x:v>
      </x:c>
      <x:c r="G56" s="21" t="str"/>
      <x:c r="H56" s="21" t="str"/>
    </x:row>
    <x:row r="57">
      <x:c r="A57" s="20" t="str">
        <x:v>030059</x:v>
      </x:c>
      <x:c r="B57" s="21" t="str">
        <x:v>Moggio Udinese</x:v>
      </x:c>
      <x:c r="C57" s="22" t="n">
        <x:v>6251</x:v>
      </x:c>
      <x:c r="D57" s="22" t="n">
        <x:v>148</x:v>
      </x:c>
      <x:c r="E57" s="21" t="str">
        <x:v>OBSERVED</x:v>
      </x:c>
      <x:c r="F57" s="23" t="n">
        <x:f>IF(E57="OBSERVED",C57,IF(E57="ZERO_CAPACITY",0,$K$4*D57/$K$5))</x:f>
        <x:v>6251</x:v>
      </x:c>
      <x:c r="G57" s="21" t="str"/>
      <x:c r="H57" s="21" t="str"/>
    </x:row>
    <x:row r="58">
      <x:c r="A58" s="20" t="str">
        <x:v>030060</x:v>
      </x:c>
      <x:c r="B58" s="21" t="str">
        <x:v>Moimacco</x:v>
      </x:c>
      <x:c r="C58" s="22" t="n">
        <x:v>1512</x:v>
      </x:c>
      <x:c r="D58" s="22" t="n">
        <x:v>48</x:v>
      </x:c>
      <x:c r="E58" s="21" t="str">
        <x:v>OBSERVED</x:v>
      </x:c>
      <x:c r="F58" s="23" t="n">
        <x:f>IF(E58="OBSERVED",C58,IF(E58="ZERO_CAPACITY",0,$K$4*D58/$K$5))</x:f>
        <x:v>1512</x:v>
      </x:c>
      <x:c r="G58" s="21" t="str"/>
      <x:c r="H58" s="21" t="str"/>
    </x:row>
    <x:row r="59">
      <x:c r="A59" s="20" t="str">
        <x:v>030061</x:v>
      </x:c>
      <x:c r="B59" s="21" t="str">
        <x:v>Montenars</x:v>
      </x:c>
      <x:c r="C59" s="22"/>
      <x:c r="D59" s="22" t="n">
        <x:v>10</x:v>
      </x:c>
      <x:c r="E59" s="21" t="str">
        <x:v>IMPUTED_BEDS_RESIDUAL</x:v>
      </x:c>
      <x:c r="F59" s="23" t="n">
        <x:f>IF(E59="OBSERVED",C59,IF(E59="ZERO_CAPACITY",0,$K$4*D59/$K$5))</x:f>
        <x:v>158.3050847457627</x:v>
      </x:c>
      <x:c r="G59" s="21" t="str"/>
      <x:c r="H59" s="21" t="str"/>
    </x:row>
    <x:row r="60">
      <x:c r="A60" s="20" t="str">
        <x:v>030062</x:v>
      </x:c>
      <x:c r="B60" s="21" t="str">
        <x:v>Mortegliano</x:v>
      </x:c>
      <x:c r="C60" s="22" t="n">
        <x:v>4708</x:v>
      </x:c>
      <x:c r="D60" s="22" t="n">
        <x:v>120</x:v>
      </x:c>
      <x:c r="E60" s="21" t="str">
        <x:v>OBSERVED</x:v>
      </x:c>
      <x:c r="F60" s="23" t="n">
        <x:f>IF(E60="OBSERVED",C60,IF(E60="ZERO_CAPACITY",0,$K$4*D60/$K$5))</x:f>
        <x:v>4708</x:v>
      </x:c>
      <x:c r="G60" s="21" t="str"/>
      <x:c r="H60" s="21" t="str"/>
    </x:row>
    <x:row r="61">
      <x:c r="A61" s="20" t="str">
        <x:v>030063</x:v>
      </x:c>
      <x:c r="B61" s="21" t="str">
        <x:v>Moruzzo</x:v>
      </x:c>
      <x:c r="C61" s="22" t="n">
        <x:v>1311</x:v>
      </x:c>
      <x:c r="D61" s="22" t="n">
        <x:v>88</x:v>
      </x:c>
      <x:c r="E61" s="21" t="str">
        <x:v>OBSERVED</x:v>
      </x:c>
      <x:c r="F61" s="23" t="n">
        <x:f>IF(E61="OBSERVED",C61,IF(E61="ZERO_CAPACITY",0,$K$4*D61/$K$5))</x:f>
        <x:v>1311</x:v>
      </x:c>
      <x:c r="G61" s="21" t="str"/>
      <x:c r="H61" s="21" t="str"/>
    </x:row>
    <x:row r="62">
      <x:c r="A62" s="20" t="str">
        <x:v>030064</x:v>
      </x:c>
      <x:c r="B62" s="21" t="str">
        <x:v>Muzzana del Turgnano</x:v>
      </x:c>
      <x:c r="C62" s="22" t="n">
        <x:v>5615</x:v>
      </x:c>
      <x:c r="D62" s="22" t="n">
        <x:v>31</x:v>
      </x:c>
      <x:c r="E62" s="21" t="str">
        <x:v>OBSERVED</x:v>
      </x:c>
      <x:c r="F62" s="23" t="n">
        <x:f>IF(E62="OBSERVED",C62,IF(E62="ZERO_CAPACITY",0,$K$4*D62/$K$5))</x:f>
        <x:v>5615</x:v>
      </x:c>
      <x:c r="G62" s="21" t="str"/>
      <x:c r="H62" s="21" t="str"/>
    </x:row>
    <x:row r="63">
      <x:c r="A63" s="20" t="str">
        <x:v>030065</x:v>
      </x:c>
      <x:c r="B63" s="21" t="str">
        <x:v>Nimis</x:v>
      </x:c>
      <x:c r="C63" s="22" t="n">
        <x:v>2634</x:v>
      </x:c>
      <x:c r="D63" s="22" t="n">
        <x:v>253</x:v>
      </x:c>
      <x:c r="E63" s="21" t="str">
        <x:v>OBSERVED</x:v>
      </x:c>
      <x:c r="F63" s="23" t="n">
        <x:f>IF(E63="OBSERVED",C63,IF(E63="ZERO_CAPACITY",0,$K$4*D63/$K$5))</x:f>
        <x:v>2634</x:v>
      </x:c>
      <x:c r="G63" s="21" t="str"/>
      <x:c r="H63" s="21" t="str"/>
    </x:row>
    <x:row r="64">
      <x:c r="A64" s="20" t="str">
        <x:v>030066</x:v>
      </x:c>
      <x:c r="B64" s="21" t="str">
        <x:v>Osoppo</x:v>
      </x:c>
      <x:c r="C64" s="22" t="n">
        <x:v>5447</x:v>
      </x:c>
      <x:c r="D64" s="22" t="n">
        <x:v>102</x:v>
      </x:c>
      <x:c r="E64" s="21" t="str">
        <x:v>OBSERVED</x:v>
      </x:c>
      <x:c r="F64" s="23" t="n">
        <x:f>IF(E64="OBSERVED",C64,IF(E64="ZERO_CAPACITY",0,$K$4*D64/$K$5))</x:f>
        <x:v>5447</x:v>
      </x:c>
      <x:c r="G64" s="21" t="str"/>
      <x:c r="H64" s="21" t="str"/>
    </x:row>
    <x:row r="65">
      <x:c r="A65" s="20" t="str">
        <x:v>030067</x:v>
      </x:c>
      <x:c r="B65" s="21" t="str">
        <x:v>Ovaro</x:v>
      </x:c>
      <x:c r="C65" s="22" t="n">
        <x:v>17538</x:v>
      </x:c>
      <x:c r="D65" s="22" t="n">
        <x:v>408</x:v>
      </x:c>
      <x:c r="E65" s="21" t="str">
        <x:v>OBSERVED</x:v>
      </x:c>
      <x:c r="F65" s="23" t="n">
        <x:f>IF(E65="OBSERVED",C65,IF(E65="ZERO_CAPACITY",0,$K$4*D65/$K$5))</x:f>
        <x:v>17538</x:v>
      </x:c>
      <x:c r="G65" s="21" t="str"/>
      <x:c r="H65" s="21" t="str"/>
    </x:row>
    <x:row r="66">
      <x:c r="A66" s="20" t="str">
        <x:v>030068</x:v>
      </x:c>
      <x:c r="B66" s="21" t="str">
        <x:v>Pagnacco</x:v>
      </x:c>
      <x:c r="C66" s="22"/>
      <x:c r="D66" s="22" t="n">
        <x:v>20</x:v>
      </x:c>
      <x:c r="E66" s="21" t="str">
        <x:v>IMPUTED_BEDS_RESIDUAL</x:v>
      </x:c>
      <x:c r="F66" s="23" t="n">
        <x:f>IF(E66="OBSERVED",C66,IF(E66="ZERO_CAPACITY",0,$K$4*D66/$K$5))</x:f>
        <x:v>316.6101694915254</x:v>
      </x:c>
      <x:c r="G66" s="21" t="str"/>
      <x:c r="H66" s="21" t="str"/>
    </x:row>
    <x:row r="67">
      <x:c r="A67" s="20" t="str">
        <x:v>030069</x:v>
      </x:c>
      <x:c r="B67" s="21" t="str">
        <x:v>Palazzolo dello Stella</x:v>
      </x:c>
      <x:c r="C67" s="22" t="n">
        <x:v>23719</x:v>
      </x:c>
      <x:c r="D67" s="22" t="n">
        <x:v>182</x:v>
      </x:c>
      <x:c r="E67" s="21" t="str">
        <x:v>OBSERVED</x:v>
      </x:c>
      <x:c r="F67" s="23" t="n">
        <x:f>IF(E67="OBSERVED",C67,IF(E67="ZERO_CAPACITY",0,$K$4*D67/$K$5))</x:f>
        <x:v>23719</x:v>
      </x:c>
      <x:c r="G67" s="21" t="str"/>
      <x:c r="H67" s="21" t="str"/>
    </x:row>
    <x:row r="68">
      <x:c r="A68" s="20" t="str">
        <x:v>030070</x:v>
      </x:c>
      <x:c r="B68" s="21" t="str">
        <x:v>Palmanova</x:v>
      </x:c>
      <x:c r="C68" s="22" t="n">
        <x:v>33155</x:v>
      </x:c>
      <x:c r="D68" s="22" t="n">
        <x:v>280</x:v>
      </x:c>
      <x:c r="E68" s="21" t="str">
        <x:v>OBSERVED</x:v>
      </x:c>
      <x:c r="F68" s="23" t="n">
        <x:f>IF(E68="OBSERVED",C68,IF(E68="ZERO_CAPACITY",0,$K$4*D68/$K$5))</x:f>
        <x:v>33155</x:v>
      </x:c>
      <x:c r="G68" s="21" t="str"/>
      <x:c r="H68" s="21" t="str"/>
    </x:row>
    <x:row r="69">
      <x:c r="A69" s="20" t="str">
        <x:v>030071</x:v>
      </x:c>
      <x:c r="B69" s="21" t="str">
        <x:v>Paluzza</x:v>
      </x:c>
      <x:c r="C69" s="22" t="n">
        <x:v>16649</x:v>
      </x:c>
      <x:c r="D69" s="22" t="n">
        <x:v>456</x:v>
      </x:c>
      <x:c r="E69" s="21" t="str">
        <x:v>OBSERVED</x:v>
      </x:c>
      <x:c r="F69" s="23" t="n">
        <x:f>IF(E69="OBSERVED",C69,IF(E69="ZERO_CAPACITY",0,$K$4*D69/$K$5))</x:f>
        <x:v>16649</x:v>
      </x:c>
      <x:c r="G69" s="21" t="str"/>
      <x:c r="H69" s="21" t="str"/>
    </x:row>
    <x:row r="70">
      <x:c r="A70" s="20" t="str">
        <x:v>030072</x:v>
      </x:c>
      <x:c r="B70" s="21" t="str">
        <x:v>Pasian di Prato</x:v>
      </x:c>
      <x:c r="C70" s="22" t="n">
        <x:v>4930</x:v>
      </x:c>
      <x:c r="D70" s="22" t="n">
        <x:v>63</x:v>
      </x:c>
      <x:c r="E70" s="21" t="str">
        <x:v>OBSERVED</x:v>
      </x:c>
      <x:c r="F70" s="23" t="n">
        <x:f>IF(E70="OBSERVED",C70,IF(E70="ZERO_CAPACITY",0,$K$4*D70/$K$5))</x:f>
        <x:v>4930</x:v>
      </x:c>
      <x:c r="G70" s="21" t="str"/>
      <x:c r="H70" s="21" t="str"/>
    </x:row>
    <x:row r="71">
      <x:c r="A71" s="20" t="str">
        <x:v>030073</x:v>
      </x:c>
      <x:c r="B71" s="21" t="str">
        <x:v>Paularo</x:v>
      </x:c>
      <x:c r="C71" s="22" t="n">
        <x:v>4445</x:v>
      </x:c>
      <x:c r="D71" s="22" t="n">
        <x:v>275</x:v>
      </x:c>
      <x:c r="E71" s="21" t="str">
        <x:v>OBSERVED</x:v>
      </x:c>
      <x:c r="F71" s="23" t="n">
        <x:f>IF(E71="OBSERVED",C71,IF(E71="ZERO_CAPACITY",0,$K$4*D71/$K$5))</x:f>
        <x:v>4445</x:v>
      </x:c>
      <x:c r="G71" s="21" t="str"/>
      <x:c r="H71" s="21" t="str"/>
    </x:row>
    <x:row r="72">
      <x:c r="A72" s="20" t="str">
        <x:v>030074</x:v>
      </x:c>
      <x:c r="B72" s="21" t="str">
        <x:v>Pavia di Udine</x:v>
      </x:c>
      <x:c r="C72" s="22" t="n">
        <x:v>3838</x:v>
      </x:c>
      <x:c r="D72" s="22" t="n">
        <x:v>134</x:v>
      </x:c>
      <x:c r="E72" s="21" t="str">
        <x:v>OBSERVED</x:v>
      </x:c>
      <x:c r="F72" s="23" t="n">
        <x:f>IF(E72="OBSERVED",C72,IF(E72="ZERO_CAPACITY",0,$K$4*D72/$K$5))</x:f>
        <x:v>3838</x:v>
      </x:c>
      <x:c r="G72" s="21" t="str"/>
      <x:c r="H72" s="21" t="str"/>
    </x:row>
    <x:row r="73">
      <x:c r="A73" s="20" t="str">
        <x:v>030075</x:v>
      </x:c>
      <x:c r="B73" s="21" t="str">
        <x:v>Pocenia</x:v>
      </x:c>
      <x:c r="C73" s="22" t="n">
        <x:v>3165</x:v>
      </x:c>
      <x:c r="D73" s="22" t="n">
        <x:v>72</x:v>
      </x:c>
      <x:c r="E73" s="21" t="str">
        <x:v>OBSERVED</x:v>
      </x:c>
      <x:c r="F73" s="23" t="n">
        <x:f>IF(E73="OBSERVED",C73,IF(E73="ZERO_CAPACITY",0,$K$4*D73/$K$5))</x:f>
        <x:v>3165</x:v>
      </x:c>
      <x:c r="G73" s="21" t="str"/>
      <x:c r="H73" s="21" t="str"/>
    </x:row>
    <x:row r="74">
      <x:c r="A74" s="20" t="str">
        <x:v>030076</x:v>
      </x:c>
      <x:c r="B74" s="21" t="str">
        <x:v>Pontebba</x:v>
      </x:c>
      <x:c r="C74" s="22" t="n">
        <x:v>24415</x:v>
      </x:c>
      <x:c r="D74" s="22" t="n">
        <x:v>441</x:v>
      </x:c>
      <x:c r="E74" s="21" t="str">
        <x:v>OBSERVED</x:v>
      </x:c>
      <x:c r="F74" s="23" t="n">
        <x:f>IF(E74="OBSERVED",C74,IF(E74="ZERO_CAPACITY",0,$K$4*D74/$K$5))</x:f>
        <x:v>24415</x:v>
      </x:c>
      <x:c r="G74" s="21" t="str"/>
      <x:c r="H74" s="21" t="str"/>
    </x:row>
    <x:row r="75">
      <x:c r="A75" s="20" t="str">
        <x:v>030077</x:v>
      </x:c>
      <x:c r="B75" s="21" t="str">
        <x:v>Porpetto</x:v>
      </x:c>
      <x:c r="C75" s="22"/>
      <x:c r="D75" s="22" t="n">
        <x:v>49</x:v>
      </x:c>
      <x:c r="E75" s="21" t="str">
        <x:v>IMPUTED_BEDS_RESIDUAL</x:v>
      </x:c>
      <x:c r="F75" s="23" t="n">
        <x:f>IF(E75="OBSERVED",C75,IF(E75="ZERO_CAPACITY",0,$K$4*D75/$K$5))</x:f>
        <x:v>775.6949152542373</x:v>
      </x:c>
      <x:c r="G75" s="21" t="str"/>
      <x:c r="H75" s="21" t="str"/>
    </x:row>
    <x:row r="76">
      <x:c r="A76" s="20" t="str">
        <x:v>030078</x:v>
      </x:c>
      <x:c r="B76" s="21" t="str">
        <x:v>Povoletto</x:v>
      </x:c>
      <x:c r="C76" s="22" t="n">
        <x:v>8020</x:v>
      </x:c>
      <x:c r="D76" s="22" t="n">
        <x:v>238</x:v>
      </x:c>
      <x:c r="E76" s="21" t="str">
        <x:v>OBSERVED</x:v>
      </x:c>
      <x:c r="F76" s="23" t="n">
        <x:f>IF(E76="OBSERVED",C76,IF(E76="ZERO_CAPACITY",0,$K$4*D76/$K$5))</x:f>
        <x:v>8020</x:v>
      </x:c>
      <x:c r="G76" s="21" t="str"/>
      <x:c r="H76" s="21" t="str"/>
    </x:row>
    <x:row r="77">
      <x:c r="A77" s="20" t="str">
        <x:v>030079</x:v>
      </x:c>
      <x:c r="B77" s="21" t="str">
        <x:v>Pozzuolo del Friuli</x:v>
      </x:c>
      <x:c r="C77" s="22" t="n">
        <x:v>1133</x:v>
      </x:c>
      <x:c r="D77" s="22" t="n">
        <x:v>102</x:v>
      </x:c>
      <x:c r="E77" s="21" t="str">
        <x:v>OBSERVED</x:v>
      </x:c>
      <x:c r="F77" s="23" t="n">
        <x:f>IF(E77="OBSERVED",C77,IF(E77="ZERO_CAPACITY",0,$K$4*D77/$K$5))</x:f>
        <x:v>1133</x:v>
      </x:c>
      <x:c r="G77" s="21" t="str"/>
      <x:c r="H77" s="21" t="str"/>
    </x:row>
    <x:row r="78">
      <x:c r="A78" s="20" t="str">
        <x:v>030080</x:v>
      </x:c>
      <x:c r="B78" s="21" t="str">
        <x:v>Pradamano</x:v>
      </x:c>
      <x:c r="C78" s="22" t="n">
        <x:v>30748</x:v>
      </x:c>
      <x:c r="D78" s="22" t="n">
        <x:v>163</x:v>
      </x:c>
      <x:c r="E78" s="21" t="str">
        <x:v>OBSERVED</x:v>
      </x:c>
      <x:c r="F78" s="23" t="n">
        <x:f>IF(E78="OBSERVED",C78,IF(E78="ZERO_CAPACITY",0,$K$4*D78/$K$5))</x:f>
        <x:v>30748</x:v>
      </x:c>
      <x:c r="G78" s="21" t="str"/>
      <x:c r="H78" s="21" t="str"/>
    </x:row>
    <x:row r="79">
      <x:c r="A79" s="20" t="str">
        <x:v>030081</x:v>
      </x:c>
      <x:c r="B79" s="21" t="str">
        <x:v>Prato Carnico</x:v>
      </x:c>
      <x:c r="C79" s="22" t="n">
        <x:v>4855</x:v>
      </x:c>
      <x:c r="D79" s="22" t="n">
        <x:v>421</x:v>
      </x:c>
      <x:c r="E79" s="21" t="str">
        <x:v>OBSERVED</x:v>
      </x:c>
      <x:c r="F79" s="23" t="n">
        <x:f>IF(E79="OBSERVED",C79,IF(E79="ZERO_CAPACITY",0,$K$4*D79/$K$5))</x:f>
        <x:v>4855</x:v>
      </x:c>
      <x:c r="G79" s="21" t="str"/>
      <x:c r="H79" s="21" t="str"/>
    </x:row>
    <x:row r="80">
      <x:c r="A80" s="20" t="str">
        <x:v>030082</x:v>
      </x:c>
      <x:c r="B80" s="21" t="str">
        <x:v>Precenicco</x:v>
      </x:c>
      <x:c r="C80" s="22"/>
      <x:c r="D80" s="22" t="n">
        <x:v>26</x:v>
      </x:c>
      <x:c r="E80" s="21" t="str">
        <x:v>IMPUTED_BEDS_RESIDUAL</x:v>
      </x:c>
      <x:c r="F80" s="23" t="n">
        <x:f>IF(E80="OBSERVED",C80,IF(E80="ZERO_CAPACITY",0,$K$4*D80/$K$5))</x:f>
        <x:v>411.59322033898303</x:v>
      </x:c>
      <x:c r="G80" s="21" t="str"/>
      <x:c r="H80" s="21" t="str"/>
    </x:row>
    <x:row r="81">
      <x:c r="A81" s="20" t="str">
        <x:v>030083</x:v>
      </x:c>
      <x:c r="B81" s="21" t="str">
        <x:v>Premariacco</x:v>
      </x:c>
      <x:c r="C81" s="22" t="n">
        <x:v>872</x:v>
      </x:c>
      <x:c r="D81" s="22" t="n">
        <x:v>85</x:v>
      </x:c>
      <x:c r="E81" s="21" t="str">
        <x:v>OBSERVED</x:v>
      </x:c>
      <x:c r="F81" s="23" t="n">
        <x:f>IF(E81="OBSERVED",C81,IF(E81="ZERO_CAPACITY",0,$K$4*D81/$K$5))</x:f>
        <x:v>872</x:v>
      </x:c>
      <x:c r="G81" s="21" t="str"/>
      <x:c r="H81" s="21" t="str"/>
    </x:row>
    <x:row r="82">
      <x:c r="A82" s="20" t="str">
        <x:v>030084</x:v>
      </x:c>
      <x:c r="B82" s="21" t="str">
        <x:v>Preone</x:v>
      </x:c>
      <x:c r="C82" s="22" t="n">
        <x:v>1320</x:v>
      </x:c>
      <x:c r="D82" s="22" t="n">
        <x:v>138</x:v>
      </x:c>
      <x:c r="E82" s="21" t="str">
        <x:v>OBSERVED</x:v>
      </x:c>
      <x:c r="F82" s="23" t="n">
        <x:f>IF(E82="OBSERVED",C82,IF(E82="ZERO_CAPACITY",0,$K$4*D82/$K$5))</x:f>
        <x:v>1320</x:v>
      </x:c>
      <x:c r="G82" s="21" t="str"/>
      <x:c r="H82" s="21" t="str"/>
    </x:row>
    <x:row r="83">
      <x:c r="A83" s="20" t="str">
        <x:v>030085</x:v>
      </x:c>
      <x:c r="B83" s="21" t="str">
        <x:v>Prepotto</x:v>
      </x:c>
      <x:c r="C83" s="22" t="n">
        <x:v>1726</x:v>
      </x:c>
      <x:c r="D83" s="22" t="n">
        <x:v>181</x:v>
      </x:c>
      <x:c r="E83" s="21" t="str">
        <x:v>OBSERVED</x:v>
      </x:c>
      <x:c r="F83" s="23" t="n">
        <x:f>IF(E83="OBSERVED",C83,IF(E83="ZERO_CAPACITY",0,$K$4*D83/$K$5))</x:f>
        <x:v>1726</x:v>
      </x:c>
      <x:c r="G83" s="21" t="str"/>
      <x:c r="H83" s="21" t="str"/>
    </x:row>
    <x:row r="84">
      <x:c r="A84" s="20" t="str">
        <x:v>030086</x:v>
      </x:c>
      <x:c r="B84" s="21" t="str">
        <x:v>Pulfero</x:v>
      </x:c>
      <x:c r="C84" s="22" t="n">
        <x:v>1832</x:v>
      </x:c>
      <x:c r="D84" s="22" t="n">
        <x:v>293</x:v>
      </x:c>
      <x:c r="E84" s="21" t="str">
        <x:v>OBSERVED</x:v>
      </x:c>
      <x:c r="F84" s="23" t="n">
        <x:f>IF(E84="OBSERVED",C84,IF(E84="ZERO_CAPACITY",0,$K$4*D84/$K$5))</x:f>
        <x:v>1832</x:v>
      </x:c>
      <x:c r="G84" s="21" t="str"/>
      <x:c r="H84" s="21" t="str"/>
    </x:row>
    <x:row r="85">
      <x:c r="A85" s="20" t="str">
        <x:v>030087</x:v>
      </x:c>
      <x:c r="B85" s="21" t="str">
        <x:v>Ragogna</x:v>
      </x:c>
      <x:c r="C85" s="22" t="n">
        <x:v>2906</x:v>
      </x:c>
      <x:c r="D85" s="22" t="n">
        <x:v>87</x:v>
      </x:c>
      <x:c r="E85" s="21" t="str">
        <x:v>OBSERVED</x:v>
      </x:c>
      <x:c r="F85" s="23" t="n">
        <x:f>IF(E85="OBSERVED",C85,IF(E85="ZERO_CAPACITY",0,$K$4*D85/$K$5))</x:f>
        <x:v>2906</x:v>
      </x:c>
      <x:c r="G85" s="21" t="str"/>
      <x:c r="H85" s="21" t="str"/>
    </x:row>
    <x:row r="86">
      <x:c r="A86" s="20" t="str">
        <x:v>030088</x:v>
      </x:c>
      <x:c r="B86" s="21" t="str">
        <x:v>Ravascletto</x:v>
      </x:c>
      <x:c r="C86" s="22" t="n">
        <x:v>35496</x:v>
      </x:c>
      <x:c r="D86" s="22" t="n">
        <x:v>834</x:v>
      </x:c>
      <x:c r="E86" s="21" t="str">
        <x:v>OBSERVED</x:v>
      </x:c>
      <x:c r="F86" s="23" t="n">
        <x:f>IF(E86="OBSERVED",C86,IF(E86="ZERO_CAPACITY",0,$K$4*D86/$K$5))</x:f>
        <x:v>35496</x:v>
      </x:c>
      <x:c r="G86" s="21" t="str"/>
      <x:c r="H86" s="21" t="str"/>
    </x:row>
    <x:row r="87">
      <x:c r="A87" s="20" t="str">
        <x:v>030089</x:v>
      </x:c>
      <x:c r="B87" s="21" t="str">
        <x:v>Raveo</x:v>
      </x:c>
      <x:c r="C87" s="22" t="n">
        <x:v>391</x:v>
      </x:c>
      <x:c r="D87" s="22" t="n">
        <x:v>71</x:v>
      </x:c>
      <x:c r="E87" s="21" t="str">
        <x:v>OBSERVED</x:v>
      </x:c>
      <x:c r="F87" s="23" t="n">
        <x:f>IF(E87="OBSERVED",C87,IF(E87="ZERO_CAPACITY",0,$K$4*D87/$K$5))</x:f>
        <x:v>391</x:v>
      </x:c>
      <x:c r="G87" s="21" t="str"/>
      <x:c r="H87" s="21" t="str"/>
    </x:row>
    <x:row r="88">
      <x:c r="A88" s="20" t="str">
        <x:v>030090</x:v>
      </x:c>
      <x:c r="B88" s="21" t="str">
        <x:v>Reana del Rojale</x:v>
      </x:c>
      <x:c r="C88" s="22" t="n">
        <x:v>198</x:v>
      </x:c>
      <x:c r="D88" s="22" t="n">
        <x:v>90</x:v>
      </x:c>
      <x:c r="E88" s="21" t="str">
        <x:v>OBSERVED</x:v>
      </x:c>
      <x:c r="F88" s="23" t="n">
        <x:f>IF(E88="OBSERVED",C88,IF(E88="ZERO_CAPACITY",0,$K$4*D88/$K$5))</x:f>
        <x:v>198</x:v>
      </x:c>
      <x:c r="G88" s="21" t="str"/>
      <x:c r="H88" s="21" t="str"/>
    </x:row>
    <x:row r="89">
      <x:c r="A89" s="20" t="str">
        <x:v>030091</x:v>
      </x:c>
      <x:c r="B89" s="21" t="str">
        <x:v>Remanzacco</x:v>
      </x:c>
      <x:c r="C89" s="22" t="n">
        <x:v>7387</x:v>
      </x:c>
      <x:c r="D89" s="22" t="n">
        <x:v>155</x:v>
      </x:c>
      <x:c r="E89" s="21" t="str">
        <x:v>OBSERVED</x:v>
      </x:c>
      <x:c r="F89" s="23" t="n">
        <x:f>IF(E89="OBSERVED",C89,IF(E89="ZERO_CAPACITY",0,$K$4*D89/$K$5))</x:f>
        <x:v>7387</x:v>
      </x:c>
      <x:c r="G89" s="21" t="str"/>
      <x:c r="H89" s="21" t="str"/>
    </x:row>
    <x:row r="90">
      <x:c r="A90" s="20" t="str">
        <x:v>030092</x:v>
      </x:c>
      <x:c r="B90" s="21" t="str">
        <x:v>Resia</x:v>
      </x:c>
      <x:c r="C90" s="22" t="n">
        <x:v>2463</x:v>
      </x:c>
      <x:c r="D90" s="22" t="n">
        <x:v>152</x:v>
      </x:c>
      <x:c r="E90" s="21" t="str">
        <x:v>OBSERVED</x:v>
      </x:c>
      <x:c r="F90" s="23" t="n">
        <x:f>IF(E90="OBSERVED",C90,IF(E90="ZERO_CAPACITY",0,$K$4*D90/$K$5))</x:f>
        <x:v>2463</x:v>
      </x:c>
      <x:c r="G90" s="21" t="str"/>
      <x:c r="H90" s="21" t="str"/>
    </x:row>
    <x:row r="91">
      <x:c r="A91" s="20" t="str">
        <x:v>030093</x:v>
      </x:c>
      <x:c r="B91" s="21" t="str">
        <x:v>Resiutta</x:v>
      </x:c>
      <x:c r="C91" s="22"/>
      <x:c r="D91" s="22" t="n">
        <x:v>24</x:v>
      </x:c>
      <x:c r="E91" s="21" t="str">
        <x:v>IMPUTED_BEDS_RESIDUAL</x:v>
      </x:c>
      <x:c r="F91" s="23" t="n">
        <x:f>IF(E91="OBSERVED",C91,IF(E91="ZERO_CAPACITY",0,$K$4*D91/$K$5))</x:f>
        <x:v>379.93220338983053</x:v>
      </x:c>
      <x:c r="G91" s="21" t="str"/>
      <x:c r="H91" s="21" t="str"/>
    </x:row>
    <x:row r="92">
      <x:c r="A92" s="20" t="str">
        <x:v>030094</x:v>
      </x:c>
      <x:c r="B92" s="21" t="str">
        <x:v>Rigolato</x:v>
      </x:c>
      <x:c r="C92" s="22" t="n">
        <x:v>3436</x:v>
      </x:c>
      <x:c r="D92" s="22" t="n">
        <x:v>122</x:v>
      </x:c>
      <x:c r="E92" s="21" t="str">
        <x:v>OBSERVED</x:v>
      </x:c>
      <x:c r="F92" s="23" t="n">
        <x:f>IF(E92="OBSERVED",C92,IF(E92="ZERO_CAPACITY",0,$K$4*D92/$K$5))</x:f>
        <x:v>3436</x:v>
      </x:c>
      <x:c r="G92" s="21" t="str"/>
      <x:c r="H92" s="21" t="str"/>
    </x:row>
    <x:row r="93">
      <x:c r="A93" s="20" t="str">
        <x:v>030095</x:v>
      </x:c>
      <x:c r="B93" s="21" t="str">
        <x:v>Rive d'Arcano</x:v>
      </x:c>
      <x:c r="C93" s="22" t="n">
        <x:v>448</x:v>
      </x:c>
      <x:c r="D93" s="22" t="n">
        <x:v>22</x:v>
      </x:c>
      <x:c r="E93" s="21" t="str">
        <x:v>OBSERVED</x:v>
      </x:c>
      <x:c r="F93" s="23" t="n">
        <x:f>IF(E93="OBSERVED",C93,IF(E93="ZERO_CAPACITY",0,$K$4*D93/$K$5))</x:f>
        <x:v>448</x:v>
      </x:c>
      <x:c r="G93" s="21" t="str"/>
      <x:c r="H93" s="21" t="str"/>
    </x:row>
    <x:row r="94">
      <x:c r="A94" s="20" t="str">
        <x:v>030097</x:v>
      </x:c>
      <x:c r="B94" s="21" t="str">
        <x:v>Ronchis</x:v>
      </x:c>
      <x:c r="C94" s="22" t="n">
        <x:v>346</x:v>
      </x:c>
      <x:c r="D94" s="22" t="n">
        <x:v>48</x:v>
      </x:c>
      <x:c r="E94" s="21" t="str">
        <x:v>OBSERVED</x:v>
      </x:c>
      <x:c r="F94" s="23" t="n">
        <x:f>IF(E94="OBSERVED",C94,IF(E94="ZERO_CAPACITY",0,$K$4*D94/$K$5))</x:f>
        <x:v>346</x:v>
      </x:c>
      <x:c r="G94" s="21" t="str"/>
      <x:c r="H94" s="21" t="str"/>
    </x:row>
    <x:row r="95">
      <x:c r="A95" s="20" t="str">
        <x:v>030098</x:v>
      </x:c>
      <x:c r="B95" s="21" t="str">
        <x:v>Ruda</x:v>
      </x:c>
      <x:c r="C95" s="22"/>
      <x:c r="D95" s="22" t="n">
        <x:v>27</x:v>
      </x:c>
      <x:c r="E95" s="21" t="str">
        <x:v>IMPUTED_BEDS_RESIDUAL</x:v>
      </x:c>
      <x:c r="F95" s="23" t="n">
        <x:f>IF(E95="OBSERVED",C95,IF(E95="ZERO_CAPACITY",0,$K$4*D95/$K$5))</x:f>
        <x:v>427.4237288135593</x:v>
      </x:c>
      <x:c r="G95" s="21" t="str"/>
      <x:c r="H95" s="21" t="str"/>
    </x:row>
    <x:row r="96">
      <x:c r="A96" s="20" t="str">
        <x:v>030099</x:v>
      </x:c>
      <x:c r="B96" s="21" t="str">
        <x:v>San Daniele del Friuli</x:v>
      </x:c>
      <x:c r="C96" s="22" t="n">
        <x:v>40287</x:v>
      </x:c>
      <x:c r="D96" s="22" t="n">
        <x:v>470</x:v>
      </x:c>
      <x:c r="E96" s="21" t="str">
        <x:v>OBSERVED</x:v>
      </x:c>
      <x:c r="F96" s="23" t="n">
        <x:f>IF(E96="OBSERVED",C96,IF(E96="ZERO_CAPACITY",0,$K$4*D96/$K$5))</x:f>
        <x:v>40287</x:v>
      </x:c>
      <x:c r="G96" s="21" t="str"/>
      <x:c r="H96" s="21" t="str"/>
    </x:row>
    <x:row r="97">
      <x:c r="A97" s="20" t="str">
        <x:v>030100</x:v>
      </x:c>
      <x:c r="B97" s="21" t="str">
        <x:v>San Giorgio di Nogaro</x:v>
      </x:c>
      <x:c r="C97" s="22" t="n">
        <x:v>45792</x:v>
      </x:c>
      <x:c r="D97" s="22" t="n">
        <x:v>292</x:v>
      </x:c>
      <x:c r="E97" s="21" t="str">
        <x:v>OBSERVED</x:v>
      </x:c>
      <x:c r="F97" s="23" t="n">
        <x:f>IF(E97="OBSERVED",C97,IF(E97="ZERO_CAPACITY",0,$K$4*D97/$K$5))</x:f>
        <x:v>45792</x:v>
      </x:c>
      <x:c r="G97" s="21" t="str"/>
      <x:c r="H97" s="21" t="str"/>
    </x:row>
    <x:row r="98">
      <x:c r="A98" s="20" t="str">
        <x:v>030101</x:v>
      </x:c>
      <x:c r="B98" s="21" t="str">
        <x:v>San Giovanni al Natisone</x:v>
      </x:c>
      <x:c r="C98" s="22" t="n">
        <x:v>2892</x:v>
      </x:c>
      <x:c r="D98" s="22" t="n">
        <x:v>73</x:v>
      </x:c>
      <x:c r="E98" s="21" t="str">
        <x:v>OBSERVED</x:v>
      </x:c>
      <x:c r="F98" s="23" t="n">
        <x:f>IF(E98="OBSERVED",C98,IF(E98="ZERO_CAPACITY",0,$K$4*D98/$K$5))</x:f>
        <x:v>2892</x:v>
      </x:c>
      <x:c r="G98" s="21" t="str"/>
      <x:c r="H98" s="21" t="str"/>
    </x:row>
    <x:row r="99">
      <x:c r="A99" s="20" t="str">
        <x:v>030102</x:v>
      </x:c>
      <x:c r="B99" s="21" t="str">
        <x:v>San Leonardo</x:v>
      </x:c>
      <x:c r="C99" s="22" t="n">
        <x:v>1652</x:v>
      </x:c>
      <x:c r="D99" s="22" t="n">
        <x:v>144</x:v>
      </x:c>
      <x:c r="E99" s="21" t="str">
        <x:v>OBSERVED</x:v>
      </x:c>
      <x:c r="F99" s="23" t="n">
        <x:f>IF(E99="OBSERVED",C99,IF(E99="ZERO_CAPACITY",0,$K$4*D99/$K$5))</x:f>
        <x:v>1652</x:v>
      </x:c>
      <x:c r="G99" s="21" t="str"/>
      <x:c r="H99" s="21" t="str"/>
    </x:row>
    <x:row r="100">
      <x:c r="A100" s="20" t="str">
        <x:v>030103</x:v>
      </x:c>
      <x:c r="B100" s="21" t="str">
        <x:v>San Pietro al Natisone</x:v>
      </x:c>
      <x:c r="C100" s="22" t="n">
        <x:v>1449</x:v>
      </x:c>
      <x:c r="D100" s="22" t="n">
        <x:v>185</x:v>
      </x:c>
      <x:c r="E100" s="21" t="str">
        <x:v>OBSERVED</x:v>
      </x:c>
      <x:c r="F100" s="23" t="n">
        <x:f>IF(E100="OBSERVED",C100,IF(E100="ZERO_CAPACITY",0,$K$4*D100/$K$5))</x:f>
        <x:v>1449</x:v>
      </x:c>
      <x:c r="G100" s="21" t="str"/>
      <x:c r="H100" s="21" t="str"/>
    </x:row>
    <x:row r="101">
      <x:c r="A101" s="20" t="str">
        <x:v>030104</x:v>
      </x:c>
      <x:c r="B101" s="21" t="str">
        <x:v>Santa Maria la Longa</x:v>
      </x:c>
      <x:c r="C101" s="22" t="n">
        <x:v>3584</x:v>
      </x:c>
      <x:c r="D101" s="22" t="n">
        <x:v>95</x:v>
      </x:c>
      <x:c r="E101" s="21" t="str">
        <x:v>OBSERVED</x:v>
      </x:c>
      <x:c r="F101" s="23" t="n">
        <x:f>IF(E101="OBSERVED",C101,IF(E101="ZERO_CAPACITY",0,$K$4*D101/$K$5))</x:f>
        <x:v>3584</x:v>
      </x:c>
      <x:c r="G101" s="21" t="str"/>
      <x:c r="H101" s="21" t="str"/>
    </x:row>
    <x:row r="102">
      <x:c r="A102" s="20" t="str">
        <x:v>030105</x:v>
      </x:c>
      <x:c r="B102" s="21" t="str">
        <x:v>San Vito al Torre</x:v>
      </x:c>
      <x:c r="C102" s="22" t="n">
        <x:v>6493</x:v>
      </x:c>
      <x:c r="D102" s="22" t="n">
        <x:v>86</x:v>
      </x:c>
      <x:c r="E102" s="21" t="str">
        <x:v>OBSERVED</x:v>
      </x:c>
      <x:c r="F102" s="23" t="n">
        <x:f>IF(E102="OBSERVED",C102,IF(E102="ZERO_CAPACITY",0,$K$4*D102/$K$5))</x:f>
        <x:v>6493</x:v>
      </x:c>
      <x:c r="G102" s="21" t="str"/>
      <x:c r="H102" s="21" t="str"/>
    </x:row>
    <x:row r="103">
      <x:c r="A103" s="20" t="str">
        <x:v>030106</x:v>
      </x:c>
      <x:c r="B103" s="21" t="str">
        <x:v>San Vito di Fagagna</x:v>
      </x:c>
      <x:c r="C103" s="22"/>
      <x:c r="D103" s="22" t="n">
        <x:v>7</x:v>
      </x:c>
      <x:c r="E103" s="21" t="str">
        <x:v>IMPUTED_BEDS_RESIDUAL</x:v>
      </x:c>
      <x:c r="F103" s="23" t="n">
        <x:f>IF(E103="OBSERVED",C103,IF(E103="ZERO_CAPACITY",0,$K$4*D103/$K$5))</x:f>
        <x:v>110.8135593220339</x:v>
      </x:c>
      <x:c r="G103" s="21" t="str"/>
      <x:c r="H103" s="21" t="str"/>
    </x:row>
    <x:row r="104">
      <x:c r="A104" s="20" t="str">
        <x:v>030107</x:v>
      </x:c>
      <x:c r="B104" s="21" t="str">
        <x:v>Sauris</x:v>
      </x:c>
      <x:c r="C104" s="22" t="n">
        <x:v>32600</x:v>
      </x:c>
      <x:c r="D104" s="22" t="n">
        <x:v>938</x:v>
      </x:c>
      <x:c r="E104" s="21" t="str">
        <x:v>OBSERVED</x:v>
      </x:c>
      <x:c r="F104" s="23" t="n">
        <x:f>IF(E104="OBSERVED",C104,IF(E104="ZERO_CAPACITY",0,$K$4*D104/$K$5))</x:f>
        <x:v>32600</x:v>
      </x:c>
      <x:c r="G104" s="21" t="str"/>
      <x:c r="H104" s="21" t="str"/>
    </x:row>
    <x:row r="105">
      <x:c r="A105" s="20" t="str">
        <x:v>030108</x:v>
      </x:c>
      <x:c r="B105" s="21" t="str">
        <x:v>Savogna</x:v>
      </x:c>
      <x:c r="C105" s="22" t="n">
        <x:v>293</x:v>
      </x:c>
      <x:c r="D105" s="22" t="n">
        <x:v>91</x:v>
      </x:c>
      <x:c r="E105" s="21" t="str">
        <x:v>OBSERVED</x:v>
      </x:c>
      <x:c r="F105" s="23" t="n">
        <x:f>IF(E105="OBSERVED",C105,IF(E105="ZERO_CAPACITY",0,$K$4*D105/$K$5))</x:f>
        <x:v>293</x:v>
      </x:c>
      <x:c r="G105" s="21" t="str"/>
      <x:c r="H105" s="21" t="str"/>
    </x:row>
    <x:row r="106">
      <x:c r="A106" s="20" t="str">
        <x:v>030109</x:v>
      </x:c>
      <x:c r="B106" s="21" t="str">
        <x:v>Sedegliano</x:v>
      </x:c>
      <x:c r="C106" s="22" t="n">
        <x:v>7399</x:v>
      </x:c>
      <x:c r="D106" s="22" t="n">
        <x:v>119</x:v>
      </x:c>
      <x:c r="E106" s="21" t="str">
        <x:v>OBSERVED</x:v>
      </x:c>
      <x:c r="F106" s="23" t="n">
        <x:f>IF(E106="OBSERVED",C106,IF(E106="ZERO_CAPACITY",0,$K$4*D106/$K$5))</x:f>
        <x:v>7399</x:v>
      </x:c>
      <x:c r="G106" s="21" t="str"/>
      <x:c r="H106" s="21" t="str"/>
    </x:row>
    <x:row r="107">
      <x:c r="A107" s="20" t="str">
        <x:v>030110</x:v>
      </x:c>
      <x:c r="B107" s="21" t="str">
        <x:v>Socchieve</x:v>
      </x:c>
      <x:c r="C107" s="22" t="n">
        <x:v>7954</x:v>
      </x:c>
      <x:c r="D107" s="22" t="n">
        <x:v>129</x:v>
      </x:c>
      <x:c r="E107" s="21" t="str">
        <x:v>OBSERVED</x:v>
      </x:c>
      <x:c r="F107" s="23" t="n">
        <x:f>IF(E107="OBSERVED",C107,IF(E107="ZERO_CAPACITY",0,$K$4*D107/$K$5))</x:f>
        <x:v>7954</x:v>
      </x:c>
      <x:c r="G107" s="21" t="str"/>
      <x:c r="H107" s="21" t="str"/>
    </x:row>
    <x:row r="108">
      <x:c r="A108" s="20" t="str">
        <x:v>030111</x:v>
      </x:c>
      <x:c r="B108" s="21" t="str">
        <x:v>Stregna</x:v>
      </x:c>
      <x:c r="C108" s="22"/>
      <x:c r="D108" s="22" t="n">
        <x:v>49</x:v>
      </x:c>
      <x:c r="E108" s="21" t="str">
        <x:v>IMPUTED_BEDS_RESIDUAL</x:v>
      </x:c>
      <x:c r="F108" s="23" t="n">
        <x:f>IF(E108="OBSERVED",C108,IF(E108="ZERO_CAPACITY",0,$K$4*D108/$K$5))</x:f>
        <x:v>775.6949152542373</x:v>
      </x:c>
      <x:c r="G108" s="21" t="str"/>
      <x:c r="H108" s="21" t="str"/>
    </x:row>
    <x:row r="109">
      <x:c r="A109" s="20" t="str">
        <x:v>030112</x:v>
      </x:c>
      <x:c r="B109" s="21" t="str">
        <x:v>Sutrio</x:v>
      </x:c>
      <x:c r="C109" s="22" t="n">
        <x:v>47286</x:v>
      </x:c>
      <x:c r="D109" s="22" t="n">
        <x:v>434</x:v>
      </x:c>
      <x:c r="E109" s="21" t="str">
        <x:v>OBSERVED</x:v>
      </x:c>
      <x:c r="F109" s="23" t="n">
        <x:f>IF(E109="OBSERVED",C109,IF(E109="ZERO_CAPACITY",0,$K$4*D109/$K$5))</x:f>
        <x:v>47286</x:v>
      </x:c>
      <x:c r="G109" s="21" t="str"/>
      <x:c r="H109" s="21" t="str"/>
    </x:row>
    <x:row r="110">
      <x:c r="A110" s="20" t="str">
        <x:v>030113</x:v>
      </x:c>
      <x:c r="B110" s="21" t="str">
        <x:v>Taipana</x:v>
      </x:c>
      <x:c r="C110" s="22"/>
      <x:c r="D110" s="22" t="n">
        <x:v>88</x:v>
      </x:c>
      <x:c r="E110" s="21" t="str">
        <x:v>IMPUTED_BEDS_RESIDUAL</x:v>
      </x:c>
      <x:c r="F110" s="23" t="n">
        <x:f>IF(E110="OBSERVED",C110,IF(E110="ZERO_CAPACITY",0,$K$4*D110/$K$5))</x:f>
        <x:v>1393.084745762712</x:v>
      </x:c>
      <x:c r="G110" s="21" t="str"/>
      <x:c r="H110" s="21" t="str"/>
    </x:row>
    <x:row r="111">
      <x:c r="A111" s="20" t="str">
        <x:v>030114</x:v>
      </x:c>
      <x:c r="B111" s="21" t="str">
        <x:v>Talmassons</x:v>
      </x:c>
      <x:c r="C111" s="22" t="n">
        <x:v>1154</x:v>
      </x:c>
      <x:c r="D111" s="22" t="n">
        <x:v>43</x:v>
      </x:c>
      <x:c r="E111" s="21" t="str">
        <x:v>OBSERVED</x:v>
      </x:c>
      <x:c r="F111" s="23" t="n">
        <x:f>IF(E111="OBSERVED",C111,IF(E111="ZERO_CAPACITY",0,$K$4*D111/$K$5))</x:f>
        <x:v>1154</x:v>
      </x:c>
      <x:c r="G111" s="21" t="str"/>
      <x:c r="H111" s="21" t="str"/>
    </x:row>
    <x:row r="112">
      <x:c r="A112" s="20" t="str">
        <x:v>030116</x:v>
      </x:c>
      <x:c r="B112" s="21" t="str">
        <x:v>Tarcento</x:v>
      </x:c>
      <x:c r="C112" s="22" t="n">
        <x:v>27406</x:v>
      </x:c>
      <x:c r="D112" s="22" t="n">
        <x:v>310</x:v>
      </x:c>
      <x:c r="E112" s="21" t="str">
        <x:v>OBSERVED</x:v>
      </x:c>
      <x:c r="F112" s="23" t="n">
        <x:f>IF(E112="OBSERVED",C112,IF(E112="ZERO_CAPACITY",0,$K$4*D112/$K$5))</x:f>
        <x:v>27406</x:v>
      </x:c>
      <x:c r="G112" s="21" t="str"/>
      <x:c r="H112" s="21" t="str"/>
    </x:row>
    <x:row r="113">
      <x:c r="A113" s="20" t="str">
        <x:v>030117</x:v>
      </x:c>
      <x:c r="B113" s="21" t="str">
        <x:v>Tarvisio</x:v>
      </x:c>
      <x:c r="C113" s="22" t="n">
        <x:v>223916</x:v>
      </x:c>
      <x:c r="D113" s="22" t="n">
        <x:v>4103</x:v>
      </x:c>
      <x:c r="E113" s="21" t="str">
        <x:v>OBSERVED</x:v>
      </x:c>
      <x:c r="F113" s="23" t="n">
        <x:f>IF(E113="OBSERVED",C113,IF(E113="ZERO_CAPACITY",0,$K$4*D113/$K$5))</x:f>
        <x:v>223916</x:v>
      </x:c>
      <x:c r="G113" s="21" t="str"/>
      <x:c r="H113" s="21" t="str"/>
    </x:row>
    <x:row r="114">
      <x:c r="A114" s="20" t="str">
        <x:v>030118</x:v>
      </x:c>
      <x:c r="B114" s="21" t="str">
        <x:v>Tavagnacco</x:v>
      </x:c>
      <x:c r="C114" s="22" t="n">
        <x:v>53739</x:v>
      </x:c>
      <x:c r="D114" s="22" t="n">
        <x:v>402</x:v>
      </x:c>
      <x:c r="E114" s="21" t="str">
        <x:v>OBSERVED</x:v>
      </x:c>
      <x:c r="F114" s="23" t="n">
        <x:f>IF(E114="OBSERVED",C114,IF(E114="ZERO_CAPACITY",0,$K$4*D114/$K$5))</x:f>
        <x:v>53739</x:v>
      </x:c>
      <x:c r="G114" s="21" t="str"/>
      <x:c r="H114" s="21" t="str"/>
    </x:row>
    <x:row r="115">
      <x:c r="A115" s="20" t="str">
        <x:v>030120</x:v>
      </x:c>
      <x:c r="B115" s="21" t="str">
        <x:v>Terzo d'Aquileia</x:v>
      </x:c>
      <x:c r="C115" s="22" t="n">
        <x:v>2179</x:v>
      </x:c>
      <x:c r="D115" s="22" t="n">
        <x:v>36</x:v>
      </x:c>
      <x:c r="E115" s="21" t="str">
        <x:v>OBSERVED</x:v>
      </x:c>
      <x:c r="F115" s="23" t="n">
        <x:f>IF(E115="OBSERVED",C115,IF(E115="ZERO_CAPACITY",0,$K$4*D115/$K$5))</x:f>
        <x:v>2179</x:v>
      </x:c>
      <x:c r="G115" s="21" t="str"/>
      <x:c r="H115" s="21" t="str"/>
    </x:row>
    <x:row r="116">
      <x:c r="A116" s="20" t="str">
        <x:v>030121</x:v>
      </x:c>
      <x:c r="B116" s="21" t="str">
        <x:v>Tolmezzo</x:v>
      </x:c>
      <x:c r="C116" s="22" t="n">
        <x:v>13840</x:v>
      </x:c>
      <x:c r="D116" s="22" t="n">
        <x:v>372</x:v>
      </x:c>
      <x:c r="E116" s="21" t="str">
        <x:v>OBSERVED</x:v>
      </x:c>
      <x:c r="F116" s="23" t="n">
        <x:f>IF(E116="OBSERVED",C116,IF(E116="ZERO_CAPACITY",0,$K$4*D116/$K$5))</x:f>
        <x:v>13840</x:v>
      </x:c>
      <x:c r="G116" s="21" t="str"/>
      <x:c r="H116" s="21" t="str"/>
    </x:row>
    <x:row r="117">
      <x:c r="A117" s="20" t="str">
        <x:v>030122</x:v>
      </x:c>
      <x:c r="B117" s="21" t="str">
        <x:v>Torreano</x:v>
      </x:c>
      <x:c r="C117" s="22" t="n">
        <x:v>1234</x:v>
      </x:c>
      <x:c r="D117" s="22" t="n">
        <x:v>116</x:v>
      </x:c>
      <x:c r="E117" s="21" t="str">
        <x:v>OBSERVED</x:v>
      </x:c>
      <x:c r="F117" s="23" t="n">
        <x:f>IF(E117="OBSERVED",C117,IF(E117="ZERO_CAPACITY",0,$K$4*D117/$K$5))</x:f>
        <x:v>1234</x:v>
      </x:c>
      <x:c r="G117" s="21" t="str"/>
      <x:c r="H117" s="21" t="str"/>
    </x:row>
    <x:row r="118">
      <x:c r="A118" s="20" t="str">
        <x:v>030123</x:v>
      </x:c>
      <x:c r="B118" s="21" t="str">
        <x:v>Torviscosa</x:v>
      </x:c>
      <x:c r="C118" s="22"/>
      <x:c r="D118" s="22" t="n">
        <x:v>8</x:v>
      </x:c>
      <x:c r="E118" s="21" t="str">
        <x:v>IMPUTED_BEDS_RESIDUAL</x:v>
      </x:c>
      <x:c r="F118" s="23" t="n">
        <x:f>IF(E118="OBSERVED",C118,IF(E118="ZERO_CAPACITY",0,$K$4*D118/$K$5))</x:f>
        <x:v>126.64406779661017</x:v>
      </x:c>
      <x:c r="G118" s="21" t="str"/>
      <x:c r="H118" s="21" t="str"/>
    </x:row>
    <x:row r="119">
      <x:c r="A119" s="20" t="str">
        <x:v>030124</x:v>
      </x:c>
      <x:c r="B119" s="21" t="str">
        <x:v>Trasaghis</x:v>
      </x:c>
      <x:c r="C119" s="22" t="n">
        <x:v>22523</x:v>
      </x:c>
      <x:c r="D119" s="22" t="n">
        <x:v>261</x:v>
      </x:c>
      <x:c r="E119" s="21" t="str">
        <x:v>OBSERVED</x:v>
      </x:c>
      <x:c r="F119" s="23" t="n">
        <x:f>IF(E119="OBSERVED",C119,IF(E119="ZERO_CAPACITY",0,$K$4*D119/$K$5))</x:f>
        <x:v>22523</x:v>
      </x:c>
      <x:c r="G119" s="21" t="str"/>
      <x:c r="H119" s="21" t="str"/>
    </x:row>
    <x:row r="120">
      <x:c r="A120" s="20" t="str">
        <x:v>030126</x:v>
      </x:c>
      <x:c r="B120" s="21" t="str">
        <x:v>Treppo Grande</x:v>
      </x:c>
      <x:c r="C120" s="22" t="n">
        <x:v>2221</x:v>
      </x:c>
      <x:c r="D120" s="22" t="n">
        <x:v>46</x:v>
      </x:c>
      <x:c r="E120" s="21" t="str">
        <x:v>OBSERVED</x:v>
      </x:c>
      <x:c r="F120" s="23" t="n">
        <x:f>IF(E120="OBSERVED",C120,IF(E120="ZERO_CAPACITY",0,$K$4*D120/$K$5))</x:f>
        <x:v>2221</x:v>
      </x:c>
      <x:c r="G120" s="21" t="str"/>
      <x:c r="H120" s="21" t="str"/>
    </x:row>
    <x:row r="121">
      <x:c r="A121" s="20" t="str">
        <x:v>030127</x:v>
      </x:c>
      <x:c r="B121" s="21" t="str">
        <x:v>Tricesimo</x:v>
      </x:c>
      <x:c r="C121" s="22" t="n">
        <x:v>4972</x:v>
      </x:c>
      <x:c r="D121" s="22" t="n">
        <x:v>134</x:v>
      </x:c>
      <x:c r="E121" s="21" t="str">
        <x:v>OBSERVED</x:v>
      </x:c>
      <x:c r="F121" s="23" t="n">
        <x:f>IF(E121="OBSERVED",C121,IF(E121="ZERO_CAPACITY",0,$K$4*D121/$K$5))</x:f>
        <x:v>4972</x:v>
      </x:c>
      <x:c r="G121" s="21" t="str"/>
      <x:c r="H121" s="21" t="str"/>
    </x:row>
    <x:row r="122">
      <x:c r="A122" s="20" t="str">
        <x:v>030128</x:v>
      </x:c>
      <x:c r="B122" s="21" t="str">
        <x:v>Trivignano Udinese</x:v>
      </x:c>
      <x:c r="C122" s="22" t="n">
        <x:v>5572</x:v>
      </x:c>
      <x:c r="D122" s="22" t="n">
        <x:v>80</x:v>
      </x:c>
      <x:c r="E122" s="21" t="str">
        <x:v>OBSERVED</x:v>
      </x:c>
      <x:c r="F122" s="23" t="n">
        <x:f>IF(E122="OBSERVED",C122,IF(E122="ZERO_CAPACITY",0,$K$4*D122/$K$5))</x:f>
        <x:v>5572</x:v>
      </x:c>
      <x:c r="G122" s="21" t="str"/>
      <x:c r="H122" s="21" t="str"/>
    </x:row>
    <x:row r="123">
      <x:c r="A123" s="20" t="str">
        <x:v>030129</x:v>
      </x:c>
      <x:c r="B123" s="21" t="str">
        <x:v>Udine</x:v>
      </x:c>
      <x:c r="C123" s="22" t="n">
        <x:v>419770</x:v>
      </x:c>
      <x:c r="D123" s="22" t="n">
        <x:v>4487</x:v>
      </x:c>
      <x:c r="E123" s="21" t="str">
        <x:v>OBSERVED</x:v>
      </x:c>
      <x:c r="F123" s="23" t="n">
        <x:f>IF(E123="OBSERVED",C123,IF(E123="ZERO_CAPACITY",0,$K$4*D123/$K$5))</x:f>
        <x:v>419770</x:v>
      </x:c>
      <x:c r="G123" s="21" t="str"/>
      <x:c r="H123" s="21" t="str"/>
    </x:row>
    <x:row r="124">
      <x:c r="A124" s="20" t="str">
        <x:v>030130</x:v>
      </x:c>
      <x:c r="B124" s="21" t="str">
        <x:v>Varmo</x:v>
      </x:c>
      <x:c r="C124" s="22" t="n">
        <x:v>283</x:v>
      </x:c>
      <x:c r="D124" s="22" t="n">
        <x:v>38</x:v>
      </x:c>
      <x:c r="E124" s="21" t="str">
        <x:v>OBSERVED</x:v>
      </x:c>
      <x:c r="F124" s="23" t="n">
        <x:f>IF(E124="OBSERVED",C124,IF(E124="ZERO_CAPACITY",0,$K$4*D124/$K$5))</x:f>
        <x:v>283</x:v>
      </x:c>
      <x:c r="G124" s="21" t="str"/>
      <x:c r="H124" s="21" t="str"/>
    </x:row>
    <x:row r="125">
      <x:c r="A125" s="20" t="str">
        <x:v>030131</x:v>
      </x:c>
      <x:c r="B125" s="21" t="str">
        <x:v>Venzone</x:v>
      </x:c>
      <x:c r="C125" s="22" t="n">
        <x:v>30564</x:v>
      </x:c>
      <x:c r="D125" s="22" t="n">
        <x:v>381</x:v>
      </x:c>
      <x:c r="E125" s="21" t="str">
        <x:v>OBSERVED</x:v>
      </x:c>
      <x:c r="F125" s="23" t="n">
        <x:f>IF(E125="OBSERVED",C125,IF(E125="ZERO_CAPACITY",0,$K$4*D125/$K$5))</x:f>
        <x:v>30564</x:v>
      </x:c>
      <x:c r="G125" s="21" t="str"/>
      <x:c r="H125" s="21" t="str"/>
    </x:row>
    <x:row r="126">
      <x:c r="A126" s="20" t="str">
        <x:v>030132</x:v>
      </x:c>
      <x:c r="B126" s="21" t="str">
        <x:v>Verzegnis</x:v>
      </x:c>
      <x:c r="C126" s="22" t="n">
        <x:v>2388</x:v>
      </x:c>
      <x:c r="D126" s="22" t="n">
        <x:v>86</x:v>
      </x:c>
      <x:c r="E126" s="21" t="str">
        <x:v>OBSERVED</x:v>
      </x:c>
      <x:c r="F126" s="23" t="n">
        <x:f>IF(E126="OBSERVED",C126,IF(E126="ZERO_CAPACITY",0,$K$4*D126/$K$5))</x:f>
        <x:v>2388</x:v>
      </x:c>
      <x:c r="G126" s="21" t="str"/>
      <x:c r="H126" s="21" t="str"/>
    </x:row>
    <x:row r="127">
      <x:c r="A127" s="20" t="str">
        <x:v>030133</x:v>
      </x:c>
      <x:c r="B127" s="21" t="str">
        <x:v>Villa Santina</x:v>
      </x:c>
      <x:c r="C127" s="22" t="n">
        <x:v>910</x:v>
      </x:c>
      <x:c r="D127" s="22" t="n">
        <x:v>82</x:v>
      </x:c>
      <x:c r="E127" s="21" t="str">
        <x:v>OBSERVED</x:v>
      </x:c>
      <x:c r="F127" s="23" t="n">
        <x:f>IF(E127="OBSERVED",C127,IF(E127="ZERO_CAPACITY",0,$K$4*D127/$K$5))</x:f>
        <x:v>910</x:v>
      </x:c>
      <x:c r="G127" s="21" t="str"/>
      <x:c r="H127" s="21" t="str"/>
    </x:row>
    <x:row r="128">
      <x:c r="A128" s="20" t="str">
        <x:v>030135</x:v>
      </x:c>
      <x:c r="B128" s="21" t="str">
        <x:v>Visco</x:v>
      </x:c>
      <x:c r="C128" s="22"/>
      <x:c r="D128" s="22" t="n">
        <x:v>12</x:v>
      </x:c>
      <x:c r="E128" s="21" t="str">
        <x:v>IMPUTED_BEDS_RESIDUAL</x:v>
      </x:c>
      <x:c r="F128" s="23" t="n">
        <x:f>IF(E128="OBSERVED",C128,IF(E128="ZERO_CAPACITY",0,$K$4*D128/$K$5))</x:f>
        <x:v>189.96610169491527</x:v>
      </x:c>
      <x:c r="G128" s="21" t="str"/>
      <x:c r="H128" s="21" t="str"/>
    </x:row>
    <x:row r="129">
      <x:c r="A129" s="20" t="str">
        <x:v>030136</x:v>
      </x:c>
      <x:c r="B129" s="21" t="str">
        <x:v>Zuglio</x:v>
      </x:c>
      <x:c r="C129" s="22"/>
      <x:c r="D129" s="22" t="n">
        <x:v>23</x:v>
      </x:c>
      <x:c r="E129" s="21" t="str">
        <x:v>IMPUTED_BEDS_RESIDUAL</x:v>
      </x:c>
      <x:c r="F129" s="23" t="n">
        <x:f>IF(E129="OBSERVED",C129,IF(E129="ZERO_CAPACITY",0,$K$4*D129/$K$5))</x:f>
        <x:v>364.10169491525426</x:v>
      </x:c>
      <x:c r="G129" s="21" t="str"/>
      <x:c r="H129" s="21" t="str"/>
    </x:row>
    <x:row r="130">
      <x:c r="A130" s="20" t="str">
        <x:v>030137</x:v>
      </x:c>
      <x:c r="B130" s="21" t="str">
        <x:v>Forgaria nel Friuli</x:v>
      </x:c>
      <x:c r="C130" s="22" t="n">
        <x:v>5385</x:v>
      </x:c>
      <x:c r="D130" s="22" t="n">
        <x:v>238</x:v>
      </x:c>
      <x:c r="E130" s="21" t="str">
        <x:v>OBSERVED</x:v>
      </x:c>
      <x:c r="F130" s="23" t="n">
        <x:f>IF(E130="OBSERVED",C130,IF(E130="ZERO_CAPACITY",0,$K$4*D130/$K$5))</x:f>
        <x:v>5385</x:v>
      </x:c>
      <x:c r="G130" s="21" t="str"/>
      <x:c r="H130" s="21" t="str"/>
    </x:row>
    <x:row r="131">
      <x:c r="A131" s="20" t="str">
        <x:v>030138</x:v>
      </x:c>
      <x:c r="B131" s="21" t="str">
        <x:v>Campolongo Tapogliano</x:v>
      </x:c>
      <x:c r="C131" s="22"/>
      <x:c r="D131" s="22" t="n">
        <x:v>0</x:v>
      </x:c>
      <x:c r="E131" s="21" t="str">
        <x:v>ZERO_CAPACITY</x:v>
      </x:c>
      <x:c r="F131" s="23" t="n">
        <x:f>IF(E131="OBSERVED",C131,IF(E131="ZERO_CAPACITY",0,$K$4*D131/$K$5))</x:f>
        <x:v>0</x:v>
      </x:c>
      <x:c r="G131" s="21" t="str"/>
      <x:c r="H131" s="21" t="str">
        <x:v>-</x:v>
      </x:c>
    </x:row>
    <x:row r="132">
      <x:c r="A132" s="20" t="str">
        <x:v>030188</x:v>
      </x:c>
      <x:c r="B132" s="21" t="str">
        <x:v>Rivignano Teor</x:v>
      </x:c>
      <x:c r="C132" s="22" t="n">
        <x:v>2822</x:v>
      </x:c>
      <x:c r="D132" s="22" t="n">
        <x:v>135</x:v>
      </x:c>
      <x:c r="E132" s="21" t="str">
        <x:v>OBSERVED</x:v>
      </x:c>
      <x:c r="F132" s="23" t="n">
        <x:f>IF(E132="OBSERVED",C132,IF(E132="ZERO_CAPACITY",0,$K$4*D132/$K$5))</x:f>
        <x:v>2822</x:v>
      </x:c>
      <x:c r="G132" s="21" t="str"/>
      <x:c r="H132" s="21" t="str"/>
    </x:row>
    <x:row r="133">
      <x:c r="A133" s="20" t="str">
        <x:v>030189</x:v>
      </x:c>
      <x:c r="B133" s="21" t="str">
        <x:v>Sappada</x:v>
      </x:c>
      <x:c r="C133" s="22" t="n">
        <x:v>87816</x:v>
      </x:c>
      <x:c r="D133" s="22" t="n">
        <x:v>1438</x:v>
      </x:c>
      <x:c r="E133" s="21" t="str">
        <x:v>OBSERVED</x:v>
      </x:c>
      <x:c r="F133" s="23" t="n">
        <x:f>IF(E133="OBSERVED",C133,IF(E133="ZERO_CAPACITY",0,$K$4*D133/$K$5))</x:f>
        <x:v>87816</x:v>
      </x:c>
      <x:c r="G133" s="21" t="str"/>
      <x:c r="H133" s="21" t="str"/>
    </x:row>
    <x:row r="134">
      <x:c r="A134" s="20" t="str">
        <x:v>030190</x:v>
      </x:c>
      <x:c r="B134" s="21" t="str">
        <x:v>Fiumicello Villa Vicentina</x:v>
      </x:c>
      <x:c r="C134" s="22" t="n">
        <x:v>9503</x:v>
      </x:c>
      <x:c r="D134" s="22" t="n">
        <x:v>179</x:v>
      </x:c>
      <x:c r="E134" s="21" t="str">
        <x:v>OBSERVED</x:v>
      </x:c>
      <x:c r="F134" s="23" t="n">
        <x:f>IF(E134="OBSERVED",C134,IF(E134="ZERO_CAPACITY",0,$K$4*D134/$K$5))</x:f>
        <x:v>9503</x:v>
      </x:c>
      <x:c r="G134" s="21" t="str"/>
      <x:c r="H134" s="21" t="str"/>
    </x:row>
    <x:row r="135">
      <x:c r="A135" s="20" t="str">
        <x:v>030191</x:v>
      </x:c>
      <x:c r="B135" s="21" t="str">
        <x:v>Treppo Ligosullo</x:v>
      </x:c>
      <x:c r="C135" s="22"/>
      <x:c r="D135" s="22" t="n">
        <x:v>26</x:v>
      </x:c>
      <x:c r="E135" s="21" t="str">
        <x:v>IMPUTED_BEDS_RESIDUAL</x:v>
      </x:c>
      <x:c r="F135" s="23" t="n">
        <x:f>IF(E135="OBSERVED",C135,IF(E135="ZERO_CAPACITY",0,$K$4*D135/$K$5))</x:f>
        <x:v>411.59322033898303</x:v>
      </x:c>
      <x:c r="G135" s="21" t="str"/>
      <x:c r="H135" s="21" t="str"/>
    </x:row>
    <x:row r="136">
      <x:c r="A136" s="20" t="str">
        <x:v>031001</x:v>
      </x:c>
      <x:c r="B136" s="21" t="str">
        <x:v>Capriva del Friuli</x:v>
      </x:c>
      <x:c r="C136" s="22" t="n">
        <x:v>7826</x:v>
      </x:c>
      <x:c r="D136" s="22" t="n">
        <x:v>131</x:v>
      </x:c>
      <x:c r="E136" s="21" t="str">
        <x:v>OBSERVED</x:v>
      </x:c>
      <x:c r="F136" s="23" t="n">
        <x:f>IF(E136="OBSERVED",C136,IF(E136="ZERO_CAPACITY",0,$K$4*D136/$K$5))</x:f>
        <x:v>7826</x:v>
      </x:c>
      <x:c r="G136" s="21" t="str"/>
      <x:c r="H136" s="21" t="str"/>
    </x:row>
    <x:row r="137">
      <x:c r="A137" s="20" t="str">
        <x:v>031002</x:v>
      </x:c>
      <x:c r="B137" s="21" t="str">
        <x:v>Cormons</x:v>
      </x:c>
      <x:c r="C137" s="22" t="n">
        <x:v>34120</x:v>
      </x:c>
      <x:c r="D137" s="22" t="n">
        <x:v>826</x:v>
      </x:c>
      <x:c r="E137" s="21" t="str">
        <x:v>OBSERVED</x:v>
      </x:c>
      <x:c r="F137" s="23" t="n">
        <x:f>IF(E137="OBSERVED",C137,IF(E137="ZERO_CAPACITY",0,$K$4*D137/$K$5))</x:f>
        <x:v>34120</x:v>
      </x:c>
      <x:c r="G137" s="21" t="str"/>
      <x:c r="H137" s="21" t="str"/>
    </x:row>
    <x:row r="138">
      <x:c r="A138" s="20" t="str">
        <x:v>031003</x:v>
      </x:c>
      <x:c r="B138" s="21" t="str">
        <x:v>Doberdò del Lago-Doberdob</x:v>
      </x:c>
      <x:c r="C138" s="22" t="n">
        <x:v>124</x:v>
      </x:c>
      <x:c r="D138" s="22" t="n">
        <x:v>53</x:v>
      </x:c>
      <x:c r="E138" s="21" t="str">
        <x:v>OBSERVED</x:v>
      </x:c>
      <x:c r="F138" s="23" t="n">
        <x:f>IF(E138="OBSERVED",C138,IF(E138="ZERO_CAPACITY",0,$K$4*D138/$K$5))</x:f>
        <x:v>124</x:v>
      </x:c>
      <x:c r="G138" s="21" t="str"/>
      <x:c r="H138" s="21" t="str"/>
    </x:row>
    <x:row r="139">
      <x:c r="A139" s="20" t="str">
        <x:v>031004</x:v>
      </x:c>
      <x:c r="B139" s="21" t="str">
        <x:v>Dolegna del Collio</x:v>
      </x:c>
      <x:c r="C139" s="22" t="n">
        <x:v>3036</x:v>
      </x:c>
      <x:c r="D139" s="22" t="n">
        <x:v>89</x:v>
      </x:c>
      <x:c r="E139" s="21" t="str">
        <x:v>OBSERVED</x:v>
      </x:c>
      <x:c r="F139" s="23" t="n">
        <x:f>IF(E139="OBSERVED",C139,IF(E139="ZERO_CAPACITY",0,$K$4*D139/$K$5))</x:f>
        <x:v>3036</x:v>
      </x:c>
      <x:c r="G139" s="21" t="str"/>
      <x:c r="H139" s="21" t="str"/>
    </x:row>
    <x:row r="140">
      <x:c r="A140" s="20" t="str">
        <x:v>031005</x:v>
      </x:c>
      <x:c r="B140" s="21" t="str">
        <x:v>Farra d'Isonzo</x:v>
      </x:c>
      <x:c r="C140" s="22" t="n">
        <x:v>4979</x:v>
      </x:c>
      <x:c r="D140" s="22" t="n">
        <x:v>95</x:v>
      </x:c>
      <x:c r="E140" s="21" t="str">
        <x:v>OBSERVED</x:v>
      </x:c>
      <x:c r="F140" s="23" t="n">
        <x:f>IF(E140="OBSERVED",C140,IF(E140="ZERO_CAPACITY",0,$K$4*D140/$K$5))</x:f>
        <x:v>4979</x:v>
      </x:c>
      <x:c r="G140" s="21" t="str"/>
      <x:c r="H140" s="21" t="str"/>
    </x:row>
    <x:row r="141">
      <x:c r="A141" s="20" t="str">
        <x:v>031006</x:v>
      </x:c>
      <x:c r="B141" s="21" t="str">
        <x:v>Fogliano Redipuglia</x:v>
      </x:c>
      <x:c r="C141" s="22" t="n">
        <x:v>21024</x:v>
      </x:c>
      <x:c r="D141" s="22" t="n">
        <x:v>233</x:v>
      </x:c>
      <x:c r="E141" s="21" t="str">
        <x:v>OBSERVED</x:v>
      </x:c>
      <x:c r="F141" s="23" t="n">
        <x:f>IF(E141="OBSERVED",C141,IF(E141="ZERO_CAPACITY",0,$K$4*D141/$K$5))</x:f>
        <x:v>21024</x:v>
      </x:c>
      <x:c r="G141" s="21" t="str"/>
      <x:c r="H141" s="21" t="str"/>
    </x:row>
    <x:row r="142">
      <x:c r="A142" s="20" t="str">
        <x:v>031007</x:v>
      </x:c>
      <x:c r="B142" s="21" t="str">
        <x:v>Gorizia</x:v>
      </x:c>
      <x:c r="C142" s="22" t="n">
        <x:v>92858</x:v>
      </x:c>
      <x:c r="D142" s="22" t="n">
        <x:v>1147</x:v>
      </x:c>
      <x:c r="E142" s="21" t="str">
        <x:v>OBSERVED</x:v>
      </x:c>
      <x:c r="F142" s="23" t="n">
        <x:f>IF(E142="OBSERVED",C142,IF(E142="ZERO_CAPACITY",0,$K$4*D142/$K$5))</x:f>
        <x:v>92858</x:v>
      </x:c>
      <x:c r="G142" s="21" t="str"/>
      <x:c r="H142" s="21" t="str"/>
    </x:row>
    <x:row r="143">
      <x:c r="A143" s="20" t="str">
        <x:v>031008</x:v>
      </x:c>
      <x:c r="B143" s="21" t="str">
        <x:v>Gradisca d'Isonzo</x:v>
      </x:c>
      <x:c r="C143" s="22" t="n">
        <x:v>56287</x:v>
      </x:c>
      <x:c r="D143" s="22" t="n">
        <x:v>394</x:v>
      </x:c>
      <x:c r="E143" s="21" t="str">
        <x:v>OBSERVED</x:v>
      </x:c>
      <x:c r="F143" s="23" t="n">
        <x:f>IF(E143="OBSERVED",C143,IF(E143="ZERO_CAPACITY",0,$K$4*D143/$K$5))</x:f>
        <x:v>56287</x:v>
      </x:c>
      <x:c r="G143" s="21" t="str"/>
      <x:c r="H143" s="21" t="str"/>
    </x:row>
    <x:row r="144">
      <x:c r="A144" s="20" t="str">
        <x:v>031009</x:v>
      </x:c>
      <x:c r="B144" s="21" t="str">
        <x:v>Grado</x:v>
      </x:c>
      <x:c r="C144" s="22" t="n">
        <x:v>1401767</x:v>
      </x:c>
      <x:c r="D144" s="22" t="n">
        <x:v>21661</x:v>
      </x:c>
      <x:c r="E144" s="21" t="str">
        <x:v>OBSERVED</x:v>
      </x:c>
      <x:c r="F144" s="23" t="n">
        <x:f>IF(E144="OBSERVED",C144,IF(E144="ZERO_CAPACITY",0,$K$4*D144/$K$5))</x:f>
        <x:v>1401767</x:v>
      </x:c>
      <x:c r="G144" s="21" t="str"/>
      <x:c r="H144" s="21" t="str"/>
    </x:row>
    <x:row r="145">
      <x:c r="A145" s="20" t="str">
        <x:v>031010</x:v>
      </x:c>
      <x:c r="B145" s="21" t="str">
        <x:v>Mariano del Friuli</x:v>
      </x:c>
      <x:c r="C145" s="22"/>
      <x:c r="D145" s="22" t="n">
        <x:v>30</x:v>
      </x:c>
      <x:c r="E145" s="21" t="str">
        <x:v>IMPUTED_BEDS_RESIDUAL</x:v>
      </x:c>
      <x:c r="F145" s="23" t="n">
        <x:f>IF(E145="OBSERVED",C145,IF(E145="ZERO_CAPACITY",0,$K$4*D145/$K$5))</x:f>
        <x:v>474.91525423728814</x:v>
      </x:c>
      <x:c r="G145" s="21" t="str"/>
      <x:c r="H145" s="21" t="str"/>
    </x:row>
    <x:row r="146">
      <x:c r="A146" s="20" t="str">
        <x:v>031011</x:v>
      </x:c>
      <x:c r="B146" s="21" t="str">
        <x:v>Medea</x:v>
      </x:c>
      <x:c r="C146" s="22" t="n">
        <x:v>1701</x:v>
      </x:c>
      <x:c r="D146" s="22" t="n">
        <x:v>28</x:v>
      </x:c>
      <x:c r="E146" s="21" t="str">
        <x:v>OBSERVED</x:v>
      </x:c>
      <x:c r="F146" s="23" t="n">
        <x:f>IF(E146="OBSERVED",C146,IF(E146="ZERO_CAPACITY",0,$K$4*D146/$K$5))</x:f>
        <x:v>1701</x:v>
      </x:c>
      <x:c r="G146" s="21" t="str"/>
      <x:c r="H146" s="21" t="str"/>
    </x:row>
    <x:row r="147">
      <x:c r="A147" s="20" t="str">
        <x:v>031012</x:v>
      </x:c>
      <x:c r="B147" s="21" t="str">
        <x:v>Monfalcone</x:v>
      </x:c>
      <x:c r="C147" s="22" t="n">
        <x:v>249926</x:v>
      </x:c>
      <x:c r="D147" s="22" t="n">
        <x:v>2272</x:v>
      </x:c>
      <x:c r="E147" s="21" t="str">
        <x:v>OBSERVED</x:v>
      </x:c>
      <x:c r="F147" s="23" t="n">
        <x:f>IF(E147="OBSERVED",C147,IF(E147="ZERO_CAPACITY",0,$K$4*D147/$K$5))</x:f>
        <x:v>249926</x:v>
      </x:c>
      <x:c r="G147" s="21" t="str"/>
      <x:c r="H147" s="21" t="str"/>
    </x:row>
    <x:row r="148">
      <x:c r="A148" s="20" t="str">
        <x:v>031013</x:v>
      </x:c>
      <x:c r="B148" s="21" t="str">
        <x:v>Moraro</x:v>
      </x:c>
      <x:c r="C148" s="22"/>
      <x:c r="D148" s="22" t="n">
        <x:v>0</x:v>
      </x:c>
      <x:c r="E148" s="21" t="str">
        <x:v>ZERO_CAPACITY</x:v>
      </x:c>
      <x:c r="F148" s="23" t="n">
        <x:f>IF(E148="OBSERVED",C148,IF(E148="ZERO_CAPACITY",0,$K$4*D148/$K$5))</x:f>
        <x:v>0</x:v>
      </x:c>
      <x:c r="G148" s="21" t="str"/>
      <x:c r="H148" s="21" t="str">
        <x:v>-</x:v>
      </x:c>
    </x:row>
    <x:row r="149">
      <x:c r="A149" s="20" t="str">
        <x:v>031014</x:v>
      </x:c>
      <x:c r="B149" s="21" t="str">
        <x:v>Mossa</x:v>
      </x:c>
      <x:c r="C149" s="22" t="n">
        <x:v>363</x:v>
      </x:c>
      <x:c r="D149" s="22" t="n">
        <x:v>36</x:v>
      </x:c>
      <x:c r="E149" s="21" t="str">
        <x:v>OBSERVED</x:v>
      </x:c>
      <x:c r="F149" s="23" t="n">
        <x:f>IF(E149="OBSERVED",C149,IF(E149="ZERO_CAPACITY",0,$K$4*D149/$K$5))</x:f>
        <x:v>363</x:v>
      </x:c>
      <x:c r="G149" s="21" t="str"/>
      <x:c r="H149" s="21" t="str"/>
    </x:row>
    <x:row r="150">
      <x:c r="A150" s="20" t="str">
        <x:v>031015</x:v>
      </x:c>
      <x:c r="B150" s="21" t="str">
        <x:v>Romans d'Isonzo</x:v>
      </x:c>
      <x:c r="C150" s="22"/>
      <x:c r="D150" s="22" t="n">
        <x:v>12</x:v>
      </x:c>
      <x:c r="E150" s="21" t="str">
        <x:v>IMPUTED_BEDS_RESIDUAL</x:v>
      </x:c>
      <x:c r="F150" s="23" t="n">
        <x:f>IF(E150="OBSERVED",C150,IF(E150="ZERO_CAPACITY",0,$K$4*D150/$K$5))</x:f>
        <x:v>189.96610169491527</x:v>
      </x:c>
      <x:c r="G150" s="21" t="str"/>
      <x:c r="H150" s="21" t="str"/>
    </x:row>
    <x:row r="151">
      <x:c r="A151" s="20" t="str">
        <x:v>031016</x:v>
      </x:c>
      <x:c r="B151" s="21" t="str">
        <x:v>Ronchi dei Legionari</x:v>
      </x:c>
      <x:c r="C151" s="22" t="n">
        <x:v>50148</x:v>
      </x:c>
      <x:c r="D151" s="22" t="n">
        <x:v>290</x:v>
      </x:c>
      <x:c r="E151" s="21" t="str">
        <x:v>OBSERVED</x:v>
      </x:c>
      <x:c r="F151" s="23" t="n">
        <x:f>IF(E151="OBSERVED",C151,IF(E151="ZERO_CAPACITY",0,$K$4*D151/$K$5))</x:f>
        <x:v>50148</x:v>
      </x:c>
      <x:c r="G151" s="21" t="str"/>
      <x:c r="H151" s="21" t="str"/>
    </x:row>
    <x:row r="152">
      <x:c r="A152" s="20" t="str">
        <x:v>031017</x:v>
      </x:c>
      <x:c r="B152" s="21" t="str">
        <x:v>Sagrado</x:v>
      </x:c>
      <x:c r="C152" s="22" t="n">
        <x:v>1278</x:v>
      </x:c>
      <x:c r="D152" s="22" t="n">
        <x:v>39</x:v>
      </x:c>
      <x:c r="E152" s="21" t="str">
        <x:v>OBSERVED</x:v>
      </x:c>
      <x:c r="F152" s="23" t="n">
        <x:f>IF(E152="OBSERVED",C152,IF(E152="ZERO_CAPACITY",0,$K$4*D152/$K$5))</x:f>
        <x:v>1278</x:v>
      </x:c>
      <x:c r="G152" s="21" t="str"/>
      <x:c r="H152" s="21" t="str"/>
    </x:row>
    <x:row r="153">
      <x:c r="A153" s="20" t="str">
        <x:v>031018</x:v>
      </x:c>
      <x:c r="B153" s="21" t="str">
        <x:v>San Canzian d'Isonzo</x:v>
      </x:c>
      <x:c r="C153" s="22" t="n">
        <x:v>4254</x:v>
      </x:c>
      <x:c r="D153" s="22" t="n">
        <x:v>165</x:v>
      </x:c>
      <x:c r="E153" s="21" t="str">
        <x:v>OBSERVED</x:v>
      </x:c>
      <x:c r="F153" s="23" t="n">
        <x:f>IF(E153="OBSERVED",C153,IF(E153="ZERO_CAPACITY",0,$K$4*D153/$K$5))</x:f>
        <x:v>4254</x:v>
      </x:c>
      <x:c r="G153" s="21" t="str"/>
      <x:c r="H153" s="21" t="str"/>
    </x:row>
    <x:row r="154">
      <x:c r="A154" s="20" t="str">
        <x:v>031019</x:v>
      </x:c>
      <x:c r="B154" s="21" t="str">
        <x:v>San Floriano del Collio-Števerjan</x:v>
      </x:c>
      <x:c r="C154" s="22" t="n">
        <x:v>1348</x:v>
      </x:c>
      <x:c r="D154" s="22" t="n">
        <x:v>95</x:v>
      </x:c>
      <x:c r="E154" s="21" t="str">
        <x:v>OBSERVED</x:v>
      </x:c>
      <x:c r="F154" s="23" t="n">
        <x:f>IF(E154="OBSERVED",C154,IF(E154="ZERO_CAPACITY",0,$K$4*D154/$K$5))</x:f>
        <x:v>1348</x:v>
      </x:c>
      <x:c r="G154" s="21" t="str"/>
      <x:c r="H154" s="21" t="str"/>
    </x:row>
    <x:row r="155">
      <x:c r="A155" s="20" t="str">
        <x:v>031020</x:v>
      </x:c>
      <x:c r="B155" s="21" t="str">
        <x:v>San Lorenzo Isontino</x:v>
      </x:c>
      <x:c r="C155" s="22"/>
      <x:c r="D155" s="22" t="n">
        <x:v>15</x:v>
      </x:c>
      <x:c r="E155" s="21" t="str">
        <x:v>IMPUTED_BEDS_RESIDUAL</x:v>
      </x:c>
      <x:c r="F155" s="23" t="n">
        <x:f>IF(E155="OBSERVED",C155,IF(E155="ZERO_CAPACITY",0,$K$4*D155/$K$5))</x:f>
        <x:v>237.45762711864407</x:v>
      </x:c>
      <x:c r="G155" s="21" t="str"/>
      <x:c r="H155" s="21" t="str"/>
    </x:row>
    <x:row r="156">
      <x:c r="A156" s="20" t="str">
        <x:v>031021</x:v>
      </x:c>
      <x:c r="B156" s="21" t="str">
        <x:v>San Pier d'Isonzo</x:v>
      </x:c>
      <x:c r="C156" s="22" t="n">
        <x:v>247</x:v>
      </x:c>
      <x:c r="D156" s="22" t="n">
        <x:v>36</x:v>
      </x:c>
      <x:c r="E156" s="21" t="str">
        <x:v>OBSERVED</x:v>
      </x:c>
      <x:c r="F156" s="23" t="n">
        <x:f>IF(E156="OBSERVED",C156,IF(E156="ZERO_CAPACITY",0,$K$4*D156/$K$5))</x:f>
        <x:v>247</x:v>
      </x:c>
      <x:c r="G156" s="21" t="str"/>
      <x:c r="H156" s="21" t="str"/>
    </x:row>
    <x:row r="157">
      <x:c r="A157" s="20" t="str">
        <x:v>031022</x:v>
      </x:c>
      <x:c r="B157" s="21" t="str">
        <x:v>Savogna d'Isonzo-Sovodnje ob Soči</x:v>
      </x:c>
      <x:c r="C157" s="22" t="n">
        <x:v>2062</x:v>
      </x:c>
      <x:c r="D157" s="22" t="n">
        <x:v>45</x:v>
      </x:c>
      <x:c r="E157" s="21" t="str">
        <x:v>OBSERVED</x:v>
      </x:c>
      <x:c r="F157" s="23" t="n">
        <x:f>IF(E157="OBSERVED",C157,IF(E157="ZERO_CAPACITY",0,$K$4*D157/$K$5))</x:f>
        <x:v>2062</x:v>
      </x:c>
      <x:c r="G157" s="21" t="str"/>
      <x:c r="H157" s="21" t="str"/>
    </x:row>
    <x:row r="158">
      <x:c r="A158" s="20" t="str">
        <x:v>031023</x:v>
      </x:c>
      <x:c r="B158" s="21" t="str">
        <x:v>Staranzano</x:v>
      </x:c>
      <x:c r="C158" s="22" t="n">
        <x:v>9888</x:v>
      </x:c>
      <x:c r="D158" s="22" t="n">
        <x:v>74</x:v>
      </x:c>
      <x:c r="E158" s="21" t="str">
        <x:v>OBSERVED</x:v>
      </x:c>
      <x:c r="F158" s="23" t="n">
        <x:f>IF(E158="OBSERVED",C158,IF(E158="ZERO_CAPACITY",0,$K$4*D158/$K$5))</x:f>
        <x:v>9888</x:v>
      </x:c>
      <x:c r="G158" s="21" t="str"/>
      <x:c r="H158" s="21" t="str"/>
    </x:row>
    <x:row r="159">
      <x:c r="A159" s="20" t="str">
        <x:v>031024</x:v>
      </x:c>
      <x:c r="B159" s="21" t="str">
        <x:v>Turriaco</x:v>
      </x:c>
      <x:c r="C159" s="22" t="n">
        <x:v>280</x:v>
      </x:c>
      <x:c r="D159" s="22" t="n">
        <x:v>26</x:v>
      </x:c>
      <x:c r="E159" s="21" t="str">
        <x:v>OBSERVED</x:v>
      </x:c>
      <x:c r="F159" s="23" t="n">
        <x:f>IF(E159="OBSERVED",C159,IF(E159="ZERO_CAPACITY",0,$K$4*D159/$K$5))</x:f>
        <x:v>280</x:v>
      </x:c>
      <x:c r="G159" s="21" t="str"/>
      <x:c r="H159" s="21" t="str"/>
    </x:row>
    <x:row r="160">
      <x:c r="A160" s="20" t="str">
        <x:v>031025</x:v>
      </x:c>
      <x:c r="B160" s="21" t="str">
        <x:v>Villesse</x:v>
      </x:c>
      <x:c r="C160" s="22" t="n">
        <x:v>927</x:v>
      </x:c>
      <x:c r="D160" s="22" t="n">
        <x:v>67</x:v>
      </x:c>
      <x:c r="E160" s="21" t="str">
        <x:v>OBSERVED</x:v>
      </x:c>
      <x:c r="F160" s="23" t="n">
        <x:f>IF(E160="OBSERVED",C160,IF(E160="ZERO_CAPACITY",0,$K$4*D160/$K$5))</x:f>
        <x:v>927</x:v>
      </x:c>
      <x:c r="G160" s="21" t="str"/>
      <x:c r="H160" s="21" t="str"/>
    </x:row>
    <x:row r="161">
      <x:c r="A161" s="20" t="str">
        <x:v>032001</x:v>
      </x:c>
      <x:c r="B161" s="21" t="str">
        <x:v>Duino Aurisina-Devin Nabrežina</x:v>
      </x:c>
      <x:c r="C161" s="22" t="n">
        <x:v>153877</x:v>
      </x:c>
      <x:c r="D161" s="22" t="n">
        <x:v>2915</x:v>
      </x:c>
      <x:c r="E161" s="21" t="str">
        <x:v>OBSERVED</x:v>
      </x:c>
      <x:c r="F161" s="23" t="n">
        <x:f>IF(E161="OBSERVED",C161,IF(E161="ZERO_CAPACITY",0,$K$4*D161/$K$5))</x:f>
        <x:v>153877</x:v>
      </x:c>
      <x:c r="G161" s="21" t="str"/>
      <x:c r="H161" s="21" t="str"/>
    </x:row>
    <x:row r="162">
      <x:c r="A162" s="20" t="str">
        <x:v>032002</x:v>
      </x:c>
      <x:c r="B162" s="21" t="str">
        <x:v>Monrupino-Repentabor</x:v>
      </x:c>
      <x:c r="C162" s="22" t="n">
        <x:v>5574</x:v>
      </x:c>
      <x:c r="D162" s="22" t="n">
        <x:v>303</x:v>
      </x:c>
      <x:c r="E162" s="21" t="str">
        <x:v>OBSERVED</x:v>
      </x:c>
      <x:c r="F162" s="23" t="n">
        <x:f>IF(E162="OBSERVED",C162,IF(E162="ZERO_CAPACITY",0,$K$4*D162/$K$5))</x:f>
        <x:v>5574</x:v>
      </x:c>
      <x:c r="G162" s="21" t="str"/>
      <x:c r="H162" s="21" t="str"/>
    </x:row>
    <x:row r="163">
      <x:c r="A163" s="20" t="str">
        <x:v>032003</x:v>
      </x:c>
      <x:c r="B163" s="21" t="str">
        <x:v>Muggia</x:v>
      </x:c>
      <x:c r="C163" s="22" t="n">
        <x:v>67769</x:v>
      </x:c>
      <x:c r="D163" s="22" t="n">
        <x:v>1481</x:v>
      </x:c>
      <x:c r="E163" s="21" t="str">
        <x:v>OBSERVED</x:v>
      </x:c>
      <x:c r="F163" s="23" t="n">
        <x:f>IF(E163="OBSERVED",C163,IF(E163="ZERO_CAPACITY",0,$K$4*D163/$K$5))</x:f>
        <x:v>67769</x:v>
      </x:c>
      <x:c r="G163" s="21" t="str"/>
      <x:c r="H163" s="21" t="str"/>
    </x:row>
    <x:row r="164">
      <x:c r="A164" s="20" t="str">
        <x:v>032004</x:v>
      </x:c>
      <x:c r="B164" s="21" t="str">
        <x:v>San Dorligo della Valle-Dolina</x:v>
      </x:c>
      <x:c r="C164" s="22" t="n">
        <x:v>132123</x:v>
      </x:c>
      <x:c r="D164" s="22" t="n">
        <x:v>550</x:v>
      </x:c>
      <x:c r="E164" s="21" t="str">
        <x:v>OBSERVED</x:v>
      </x:c>
      <x:c r="F164" s="23" t="n">
        <x:f>IF(E164="OBSERVED",C164,IF(E164="ZERO_CAPACITY",0,$K$4*D164/$K$5))</x:f>
        <x:v>132123</x:v>
      </x:c>
      <x:c r="G164" s="21" t="str">
        <x:v>(a)</x:v>
      </x:c>
      <x:c r="H164" s="21" t="str"/>
    </x:row>
    <x:row r="165">
      <x:c r="A165" s="20" t="str">
        <x:v>032005</x:v>
      </x:c>
      <x:c r="B165" s="21" t="str">
        <x:v>Sgonico-Zgonik</x:v>
      </x:c>
      <x:c r="C165" s="22" t="n">
        <x:v>2810</x:v>
      </x:c>
      <x:c r="D165" s="22" t="n">
        <x:v>116</x:v>
      </x:c>
      <x:c r="E165" s="21" t="str">
        <x:v>OBSERVED</x:v>
      </x:c>
      <x:c r="F165" s="23" t="n">
        <x:f>IF(E165="OBSERVED",C165,IF(E165="ZERO_CAPACITY",0,$K$4*D165/$K$5))</x:f>
        <x:v>2810</x:v>
      </x:c>
      <x:c r="G165" s="21" t="str"/>
      <x:c r="H165" s="21" t="str"/>
    </x:row>
    <x:row r="166">
      <x:c r="A166" s="20" t="str">
        <x:v>032006</x:v>
      </x:c>
      <x:c r="B166" s="21" t="str">
        <x:v>Trieste</x:v>
      </x:c>
      <x:c r="C166" s="22" t="n">
        <x:v>1391122</x:v>
      </x:c>
      <x:c r="D166" s="22" t="n">
        <x:v>12428</x:v>
      </x:c>
      <x:c r="E166" s="21" t="str">
        <x:v>OBSERVED</x:v>
      </x:c>
      <x:c r="F166" s="23" t="n">
        <x:f>IF(E166="OBSERVED",C166,IF(E166="ZERO_CAPACITY",0,$K$4*D166/$K$5))</x:f>
        <x:v>1391122</x:v>
      </x:c>
      <x:c r="G166" s="21" t="str"/>
      <x:c r="H166" s="21" t="str"/>
    </x:row>
    <x:row r="167">
      <x:c r="A167" s="20" t="str">
        <x:v>093001</x:v>
      </x:c>
      <x:c r="B167" s="21" t="str">
        <x:v>Andreis</x:v>
      </x:c>
      <x:c r="C167" s="22" t="n">
        <x:v>375</x:v>
      </x:c>
      <x:c r="D167" s="22" t="n">
        <x:v>68</x:v>
      </x:c>
      <x:c r="E167" s="21" t="str">
        <x:v>OBSERVED</x:v>
      </x:c>
      <x:c r="F167" s="23" t="n">
        <x:f>IF(E167="OBSERVED",C167,IF(E167="ZERO_CAPACITY",0,$K$4*D167/$K$5))</x:f>
        <x:v>375</x:v>
      </x:c>
      <x:c r="G167" s="21" t="str"/>
      <x:c r="H167" s="21" t="str"/>
    </x:row>
    <x:row r="168">
      <x:c r="A168" s="20" t="str">
        <x:v>093002</x:v>
      </x:c>
      <x:c r="B168" s="21" t="str">
        <x:v>Arba</x:v>
      </x:c>
      <x:c r="C168" s="22" t="n">
        <x:v>1224</x:v>
      </x:c>
      <x:c r="D168" s="22" t="n">
        <x:v>50</x:v>
      </x:c>
      <x:c r="E168" s="21" t="str">
        <x:v>OBSERVED</x:v>
      </x:c>
      <x:c r="F168" s="23" t="n">
        <x:f>IF(E168="OBSERVED",C168,IF(E168="ZERO_CAPACITY",0,$K$4*D168/$K$5))</x:f>
        <x:v>1224</x:v>
      </x:c>
      <x:c r="G168" s="21" t="str"/>
      <x:c r="H168" s="21" t="str"/>
    </x:row>
    <x:row r="169">
      <x:c r="A169" s="20" t="str">
        <x:v>093004</x:v>
      </x:c>
      <x:c r="B169" s="21" t="str">
        <x:v>Aviano</x:v>
      </x:c>
      <x:c r="C169" s="22" t="n">
        <x:v>100886</x:v>
      </x:c>
      <x:c r="D169" s="22" t="n">
        <x:v>1415</x:v>
      </x:c>
      <x:c r="E169" s="21" t="str">
        <x:v>OBSERVED</x:v>
      </x:c>
      <x:c r="F169" s="23" t="n">
        <x:f>IF(E169="OBSERVED",C169,IF(E169="ZERO_CAPACITY",0,$K$4*D169/$K$5))</x:f>
        <x:v>100886</x:v>
      </x:c>
      <x:c r="G169" s="21" t="str"/>
      <x:c r="H169" s="21" t="str"/>
    </x:row>
    <x:row r="170">
      <x:c r="A170" s="20" t="str">
        <x:v>093005</x:v>
      </x:c>
      <x:c r="B170" s="21" t="str">
        <x:v>Azzano Decimo</x:v>
      </x:c>
      <x:c r="C170" s="22" t="n">
        <x:v>677</x:v>
      </x:c>
      <x:c r="D170" s="22" t="n">
        <x:v>78</x:v>
      </x:c>
      <x:c r="E170" s="21" t="str">
        <x:v>OBSERVED</x:v>
      </x:c>
      <x:c r="F170" s="23" t="n">
        <x:f>IF(E170="OBSERVED",C170,IF(E170="ZERO_CAPACITY",0,$K$4*D170/$K$5))</x:f>
        <x:v>677</x:v>
      </x:c>
      <x:c r="G170" s="21" t="str"/>
      <x:c r="H170" s="21" t="str"/>
    </x:row>
    <x:row r="171">
      <x:c r="A171" s="20" t="str">
        <x:v>093006</x:v>
      </x:c>
      <x:c r="B171" s="21" t="str">
        <x:v>Barcis</x:v>
      </x:c>
      <x:c r="C171" s="22" t="n">
        <x:v>28162</x:v>
      </x:c>
      <x:c r="D171" s="22" t="n">
        <x:v>484</x:v>
      </x:c>
      <x:c r="E171" s="21" t="str">
        <x:v>OBSERVED</x:v>
      </x:c>
      <x:c r="F171" s="23" t="n">
        <x:f>IF(E171="OBSERVED",C171,IF(E171="ZERO_CAPACITY",0,$K$4*D171/$K$5))</x:f>
        <x:v>28162</x:v>
      </x:c>
      <x:c r="G171" s="21" t="str"/>
      <x:c r="H171" s="21" t="str"/>
    </x:row>
    <x:row r="172">
      <x:c r="A172" s="20" t="str">
        <x:v>093007</x:v>
      </x:c>
      <x:c r="B172" s="21" t="str">
        <x:v>Brugnera</x:v>
      </x:c>
      <x:c r="C172" s="22" t="n">
        <x:v>6159</x:v>
      </x:c>
      <x:c r="D172" s="22" t="n">
        <x:v>137</x:v>
      </x:c>
      <x:c r="E172" s="21" t="str">
        <x:v>OBSERVED</x:v>
      </x:c>
      <x:c r="F172" s="23" t="n">
        <x:f>IF(E172="OBSERVED",C172,IF(E172="ZERO_CAPACITY",0,$K$4*D172/$K$5))</x:f>
        <x:v>6159</x:v>
      </x:c>
      <x:c r="G172" s="21" t="str"/>
      <x:c r="H172" s="21" t="str"/>
    </x:row>
    <x:row r="173">
      <x:c r="A173" s="20" t="str">
        <x:v>093008</x:v>
      </x:c>
      <x:c r="B173" s="21" t="str">
        <x:v>Budoia</x:v>
      </x:c>
      <x:c r="C173" s="22" t="n">
        <x:v>16463</x:v>
      </x:c>
      <x:c r="D173" s="22" t="n">
        <x:v>131</x:v>
      </x:c>
      <x:c r="E173" s="21" t="str">
        <x:v>OBSERVED</x:v>
      </x:c>
      <x:c r="F173" s="23" t="n">
        <x:f>IF(E173="OBSERVED",C173,IF(E173="ZERO_CAPACITY",0,$K$4*D173/$K$5))</x:f>
        <x:v>16463</x:v>
      </x:c>
      <x:c r="G173" s="21" t="str"/>
      <x:c r="H173" s="21" t="str"/>
    </x:row>
    <x:row r="174">
      <x:c r="A174" s="20" t="str">
        <x:v>093009</x:v>
      </x:c>
      <x:c r="B174" s="21" t="str">
        <x:v>Caneva</x:v>
      </x:c>
      <x:c r="C174" s="22" t="n">
        <x:v>4729</x:v>
      </x:c>
      <x:c r="D174" s="22" t="n">
        <x:v>106</x:v>
      </x:c>
      <x:c r="E174" s="21" t="str">
        <x:v>OBSERVED</x:v>
      </x:c>
      <x:c r="F174" s="23" t="n">
        <x:f>IF(E174="OBSERVED",C174,IF(E174="ZERO_CAPACITY",0,$K$4*D174/$K$5))</x:f>
        <x:v>4729</x:v>
      </x:c>
      <x:c r="G174" s="21" t="str"/>
      <x:c r="H174" s="21" t="str"/>
    </x:row>
    <x:row r="175">
      <x:c r="A175" s="20" t="str">
        <x:v>093010</x:v>
      </x:c>
      <x:c r="B175" s="21" t="str">
        <x:v>Casarsa della Delizia</x:v>
      </x:c>
      <x:c r="C175" s="22" t="n">
        <x:v>22038</x:v>
      </x:c>
      <x:c r="D175" s="22" t="n">
        <x:v>172</x:v>
      </x:c>
      <x:c r="E175" s="21" t="str">
        <x:v>OBSERVED</x:v>
      </x:c>
      <x:c r="F175" s="23" t="n">
        <x:f>IF(E175="OBSERVED",C175,IF(E175="ZERO_CAPACITY",0,$K$4*D175/$K$5))</x:f>
        <x:v>22038</x:v>
      </x:c>
      <x:c r="G175" s="21" t="str"/>
      <x:c r="H175" s="21" t="str"/>
    </x:row>
    <x:row r="176">
      <x:c r="A176" s="20" t="str">
        <x:v>093011</x:v>
      </x:c>
      <x:c r="B176" s="21" t="str">
        <x:v>Castelnovo del Friuli</x:v>
      </x:c>
      <x:c r="C176" s="22"/>
      <x:c r="D176" s="22" t="n">
        <x:v>29</x:v>
      </x:c>
      <x:c r="E176" s="21" t="str">
        <x:v>IMPUTED_BEDS_RESIDUAL</x:v>
      </x:c>
      <x:c r="F176" s="23" t="n">
        <x:f>IF(E176="OBSERVED",C176,IF(E176="ZERO_CAPACITY",0,$K$4*D176/$K$5))</x:f>
        <x:v>459.08474576271186</x:v>
      </x:c>
      <x:c r="G176" s="21" t="str"/>
      <x:c r="H176" s="21" t="str"/>
    </x:row>
    <x:row r="177">
      <x:c r="A177" s="20" t="str">
        <x:v>093012</x:v>
      </x:c>
      <x:c r="B177" s="21" t="str">
        <x:v>Cavasso Nuovo</x:v>
      </x:c>
      <x:c r="C177" s="22" t="n">
        <x:v>746</x:v>
      </x:c>
      <x:c r="D177" s="22" t="n">
        <x:v>20</x:v>
      </x:c>
      <x:c r="E177" s="21" t="str">
        <x:v>OBSERVED</x:v>
      </x:c>
      <x:c r="F177" s="23" t="n">
        <x:f>IF(E177="OBSERVED",C177,IF(E177="ZERO_CAPACITY",0,$K$4*D177/$K$5))</x:f>
        <x:v>746</x:v>
      </x:c>
      <x:c r="G177" s="21" t="str"/>
      <x:c r="H177" s="21" t="str"/>
    </x:row>
    <x:row r="178">
      <x:c r="A178" s="20" t="str">
        <x:v>093013</x:v>
      </x:c>
      <x:c r="B178" s="21" t="str">
        <x:v>Chions</x:v>
      </x:c>
      <x:c r="C178" s="22" t="n">
        <x:v>3392</x:v>
      </x:c>
      <x:c r="D178" s="22" t="n">
        <x:v>44</x:v>
      </x:c>
      <x:c r="E178" s="21" t="str">
        <x:v>OBSERVED</x:v>
      </x:c>
      <x:c r="F178" s="23" t="n">
        <x:f>IF(E178="OBSERVED",C178,IF(E178="ZERO_CAPACITY",0,$K$4*D178/$K$5))</x:f>
        <x:v>3392</x:v>
      </x:c>
      <x:c r="G178" s="21" t="str"/>
      <x:c r="H178" s="21" t="str"/>
    </x:row>
    <x:row r="179">
      <x:c r="A179" s="20" t="str">
        <x:v>093014</x:v>
      </x:c>
      <x:c r="B179" s="21" t="str">
        <x:v>Cimolais</x:v>
      </x:c>
      <x:c r="C179" s="22" t="n">
        <x:v>3845</x:v>
      </x:c>
      <x:c r="D179" s="22" t="n">
        <x:v>237</x:v>
      </x:c>
      <x:c r="E179" s="21" t="str">
        <x:v>OBSERVED</x:v>
      </x:c>
      <x:c r="F179" s="23" t="n">
        <x:f>IF(E179="OBSERVED",C179,IF(E179="ZERO_CAPACITY",0,$K$4*D179/$K$5))</x:f>
        <x:v>3845</x:v>
      </x:c>
      <x:c r="G179" s="21" t="str"/>
      <x:c r="H179" s="21" t="str"/>
    </x:row>
    <x:row r="180">
      <x:c r="A180" s="20" t="str">
        <x:v>093015</x:v>
      </x:c>
      <x:c r="B180" s="21" t="str">
        <x:v>Claut</x:v>
      </x:c>
      <x:c r="C180" s="22" t="n">
        <x:v>6592</x:v>
      </x:c>
      <x:c r="D180" s="22" t="n">
        <x:v>274</x:v>
      </x:c>
      <x:c r="E180" s="21" t="str">
        <x:v>OBSERVED</x:v>
      </x:c>
      <x:c r="F180" s="23" t="n">
        <x:f>IF(E180="OBSERVED",C180,IF(E180="ZERO_CAPACITY",0,$K$4*D180/$K$5))</x:f>
        <x:v>6592</x:v>
      </x:c>
      <x:c r="G180" s="21" t="str"/>
      <x:c r="H180" s="21" t="str"/>
    </x:row>
    <x:row r="181">
      <x:c r="A181" s="20" t="str">
        <x:v>093016</x:v>
      </x:c>
      <x:c r="B181" s="21" t="str">
        <x:v>Clauzetto</x:v>
      </x:c>
      <x:c r="C181" s="22" t="n">
        <x:v>1074</x:v>
      </x:c>
      <x:c r="D181" s="22" t="n">
        <x:v>165</x:v>
      </x:c>
      <x:c r="E181" s="21" t="str">
        <x:v>OBSERVED</x:v>
      </x:c>
      <x:c r="F181" s="23" t="n">
        <x:f>IF(E181="OBSERVED",C181,IF(E181="ZERO_CAPACITY",0,$K$4*D181/$K$5))</x:f>
        <x:v>1074</x:v>
      </x:c>
      <x:c r="G181" s="21" t="str"/>
      <x:c r="H181" s="21" t="str"/>
    </x:row>
    <x:row r="182">
      <x:c r="A182" s="20" t="str">
        <x:v>093017</x:v>
      </x:c>
      <x:c r="B182" s="21" t="str">
        <x:v>Cordenons</x:v>
      </x:c>
      <x:c r="C182" s="22" t="n">
        <x:v>20934</x:v>
      </x:c>
      <x:c r="D182" s="22" t="n">
        <x:v>154</x:v>
      </x:c>
      <x:c r="E182" s="21" t="str">
        <x:v>OBSERVED</x:v>
      </x:c>
      <x:c r="F182" s="23" t="n">
        <x:f>IF(E182="OBSERVED",C182,IF(E182="ZERO_CAPACITY",0,$K$4*D182/$K$5))</x:f>
        <x:v>20934</x:v>
      </x:c>
      <x:c r="G182" s="21" t="str"/>
      <x:c r="H182" s="21" t="str"/>
    </x:row>
    <x:row r="183">
      <x:c r="A183" s="20" t="str">
        <x:v>093018</x:v>
      </x:c>
      <x:c r="B183" s="21" t="str">
        <x:v>Cordovado</x:v>
      </x:c>
      <x:c r="C183" s="22"/>
      <x:c r="D183" s="22" t="n">
        <x:v>32</x:v>
      </x:c>
      <x:c r="E183" s="21" t="str">
        <x:v>IMPUTED_BEDS_RESIDUAL</x:v>
      </x:c>
      <x:c r="F183" s="23" t="n">
        <x:f>IF(E183="OBSERVED",C183,IF(E183="ZERO_CAPACITY",0,$K$4*D183/$K$5))</x:f>
        <x:v>506.5762711864407</x:v>
      </x:c>
      <x:c r="G183" s="21" t="str"/>
      <x:c r="H183" s="21" t="str"/>
    </x:row>
    <x:row r="184">
      <x:c r="A184" s="20" t="str">
        <x:v>093019</x:v>
      </x:c>
      <x:c r="B184" s="21" t="str">
        <x:v>Erto e Casso</x:v>
      </x:c>
      <x:c r="C184" s="22" t="n">
        <x:v>162</x:v>
      </x:c>
      <x:c r="D184" s="22" t="n">
        <x:v>174</x:v>
      </x:c>
      <x:c r="E184" s="21" t="str">
        <x:v>OBSERVED</x:v>
      </x:c>
      <x:c r="F184" s="23" t="n">
        <x:f>IF(E184="OBSERVED",C184,IF(E184="ZERO_CAPACITY",0,$K$4*D184/$K$5))</x:f>
        <x:v>162</x:v>
      </x:c>
      <x:c r="G184" s="21" t="str"/>
      <x:c r="H184" s="21" t="str"/>
    </x:row>
    <x:row r="185">
      <x:c r="A185" s="20" t="str">
        <x:v>093020</x:v>
      </x:c>
      <x:c r="B185" s="21" t="str">
        <x:v>Fanna</x:v>
      </x:c>
      <x:c r="C185" s="22" t="n">
        <x:v>1756</x:v>
      </x:c>
      <x:c r="D185" s="22" t="n">
        <x:v>57</x:v>
      </x:c>
      <x:c r="E185" s="21" t="str">
        <x:v>OBSERVED</x:v>
      </x:c>
      <x:c r="F185" s="23" t="n">
        <x:f>IF(E185="OBSERVED",C185,IF(E185="ZERO_CAPACITY",0,$K$4*D185/$K$5))</x:f>
        <x:v>1756</x:v>
      </x:c>
      <x:c r="G185" s="21" t="str"/>
      <x:c r="H185" s="21" t="str"/>
    </x:row>
    <x:row r="186">
      <x:c r="A186" s="20" t="str">
        <x:v>093021</x:v>
      </x:c>
      <x:c r="B186" s="21" t="str">
        <x:v>Fiume Veneto</x:v>
      </x:c>
      <x:c r="C186" s="22" t="n">
        <x:v>8876</x:v>
      </x:c>
      <x:c r="D186" s="22" t="n">
        <x:v>214</x:v>
      </x:c>
      <x:c r="E186" s="21" t="str">
        <x:v>OBSERVED</x:v>
      </x:c>
      <x:c r="F186" s="23" t="n">
        <x:f>IF(E186="OBSERVED",C186,IF(E186="ZERO_CAPACITY",0,$K$4*D186/$K$5))</x:f>
        <x:v>8876</x:v>
      </x:c>
      <x:c r="G186" s="21" t="str"/>
      <x:c r="H186" s="21" t="str"/>
    </x:row>
    <x:row r="187">
      <x:c r="A187" s="20" t="str">
        <x:v>093022</x:v>
      </x:c>
      <x:c r="B187" s="21" t="str">
        <x:v>Fontanafredda</x:v>
      </x:c>
      <x:c r="C187" s="22" t="n">
        <x:v>19637</x:v>
      </x:c>
      <x:c r="D187" s="22" t="n">
        <x:v>272</x:v>
      </x:c>
      <x:c r="E187" s="21" t="str">
        <x:v>OBSERVED</x:v>
      </x:c>
      <x:c r="F187" s="23" t="n">
        <x:f>IF(E187="OBSERVED",C187,IF(E187="ZERO_CAPACITY",0,$K$4*D187/$K$5))</x:f>
        <x:v>19637</x:v>
      </x:c>
      <x:c r="G187" s="21" t="str"/>
      <x:c r="H187" s="21" t="str"/>
    </x:row>
    <x:row r="188">
      <x:c r="A188" s="20" t="str">
        <x:v>093024</x:v>
      </x:c>
      <x:c r="B188" s="21" t="str">
        <x:v>Frisanco</x:v>
      </x:c>
      <x:c r="C188" s="22" t="n">
        <x:v>415</x:v>
      </x:c>
      <x:c r="D188" s="22" t="n">
        <x:v>121</x:v>
      </x:c>
      <x:c r="E188" s="21" t="str">
        <x:v>OBSERVED</x:v>
      </x:c>
      <x:c r="F188" s="23" t="n">
        <x:f>IF(E188="OBSERVED",C188,IF(E188="ZERO_CAPACITY",0,$K$4*D188/$K$5))</x:f>
        <x:v>415</x:v>
      </x:c>
      <x:c r="G188" s="21" t="str"/>
      <x:c r="H188" s="21" t="str"/>
    </x:row>
    <x:row r="189">
      <x:c r="A189" s="20" t="str">
        <x:v>093025</x:v>
      </x:c>
      <x:c r="B189" s="21" t="str">
        <x:v>Maniago</x:v>
      </x:c>
      <x:c r="C189" s="22" t="n">
        <x:v>8047</x:v>
      </x:c>
      <x:c r="D189" s="22" t="n">
        <x:v>163</x:v>
      </x:c>
      <x:c r="E189" s="21" t="str">
        <x:v>OBSERVED</x:v>
      </x:c>
      <x:c r="F189" s="23" t="n">
        <x:f>IF(E189="OBSERVED",C189,IF(E189="ZERO_CAPACITY",0,$K$4*D189/$K$5))</x:f>
        <x:v>8047</x:v>
      </x:c>
      <x:c r="G189" s="21" t="str"/>
      <x:c r="H189" s="21" t="str"/>
    </x:row>
    <x:row r="190">
      <x:c r="A190" s="20" t="str">
        <x:v>093026</x:v>
      </x:c>
      <x:c r="B190" s="21" t="str">
        <x:v>Meduno</x:v>
      </x:c>
      <x:c r="C190" s="22" t="n">
        <x:v>3731</x:v>
      </x:c>
      <x:c r="D190" s="22" t="n">
        <x:v>120</x:v>
      </x:c>
      <x:c r="E190" s="21" t="str">
        <x:v>OBSERVED</x:v>
      </x:c>
      <x:c r="F190" s="23" t="n">
        <x:f>IF(E190="OBSERVED",C190,IF(E190="ZERO_CAPACITY",0,$K$4*D190/$K$5))</x:f>
        <x:v>3731</x:v>
      </x:c>
      <x:c r="G190" s="21" t="str"/>
      <x:c r="H190" s="21" t="str"/>
    </x:row>
    <x:row r="191">
      <x:c r="A191" s="20" t="str">
        <x:v>093027</x:v>
      </x:c>
      <x:c r="B191" s="21" t="str">
        <x:v>Montereale Valcellina</x:v>
      </x:c>
      <x:c r="C191" s="22" t="n">
        <x:v>3843</x:v>
      </x:c>
      <x:c r="D191" s="22" t="n">
        <x:v>124</x:v>
      </x:c>
      <x:c r="E191" s="21" t="str">
        <x:v>OBSERVED</x:v>
      </x:c>
      <x:c r="F191" s="23" t="n">
        <x:f>IF(E191="OBSERVED",C191,IF(E191="ZERO_CAPACITY",0,$K$4*D191/$K$5))</x:f>
        <x:v>3843</x:v>
      </x:c>
      <x:c r="G191" s="21" t="str"/>
      <x:c r="H191" s="21" t="str"/>
    </x:row>
    <x:row r="192">
      <x:c r="A192" s="20" t="str">
        <x:v>093028</x:v>
      </x:c>
      <x:c r="B192" s="21" t="str">
        <x:v>Morsano al Tagliamento</x:v>
      </x:c>
      <x:c r="C192" s="22"/>
      <x:c r="D192" s="22" t="n">
        <x:v>33</x:v>
      </x:c>
      <x:c r="E192" s="21" t="str">
        <x:v>IMPUTED_BEDS_RESIDUAL</x:v>
      </x:c>
      <x:c r="F192" s="23" t="n">
        <x:f>IF(E192="OBSERVED",C192,IF(E192="ZERO_CAPACITY",0,$K$4*D192/$K$5))</x:f>
        <x:v>522.4067796610169</x:v>
      </x:c>
      <x:c r="G192" s="21" t="str"/>
      <x:c r="H192" s="21" t="str"/>
    </x:row>
    <x:row r="193">
      <x:c r="A193" s="20" t="str">
        <x:v>093029</x:v>
      </x:c>
      <x:c r="B193" s="21" t="str">
        <x:v>Pasiano di Pordenone</x:v>
      </x:c>
      <x:c r="C193" s="22" t="n">
        <x:v>26414</x:v>
      </x:c>
      <x:c r="D193" s="22" t="n">
        <x:v>241</x:v>
      </x:c>
      <x:c r="E193" s="21" t="str">
        <x:v>OBSERVED</x:v>
      </x:c>
      <x:c r="F193" s="23" t="n">
        <x:f>IF(E193="OBSERVED",C193,IF(E193="ZERO_CAPACITY",0,$K$4*D193/$K$5))</x:f>
        <x:v>26414</x:v>
      </x:c>
      <x:c r="G193" s="21" t="str"/>
      <x:c r="H193" s="21" t="str"/>
    </x:row>
    <x:row r="194">
      <x:c r="A194" s="20" t="str">
        <x:v>093030</x:v>
      </x:c>
      <x:c r="B194" s="21" t="str">
        <x:v>Pinzano al Tagliamento</x:v>
      </x:c>
      <x:c r="C194" s="22" t="n">
        <x:v>2068</x:v>
      </x:c>
      <x:c r="D194" s="22" t="n">
        <x:v>59</x:v>
      </x:c>
      <x:c r="E194" s="21" t="str">
        <x:v>OBSERVED</x:v>
      </x:c>
      <x:c r="F194" s="23" t="n">
        <x:f>IF(E194="OBSERVED",C194,IF(E194="ZERO_CAPACITY",0,$K$4*D194/$K$5))</x:f>
        <x:v>2068</x:v>
      </x:c>
      <x:c r="G194" s="21" t="str"/>
      <x:c r="H194" s="21" t="str"/>
    </x:row>
    <x:row r="195">
      <x:c r="A195" s="20" t="str">
        <x:v>093031</x:v>
      </x:c>
      <x:c r="B195" s="21" t="str">
        <x:v>Polcenigo</x:v>
      </x:c>
      <x:c r="C195" s="22" t="n">
        <x:v>16875</x:v>
      </x:c>
      <x:c r="D195" s="22" t="n">
        <x:v>185</x:v>
      </x:c>
      <x:c r="E195" s="21" t="str">
        <x:v>OBSERVED</x:v>
      </x:c>
      <x:c r="F195" s="23" t="n">
        <x:f>IF(E195="OBSERVED",C195,IF(E195="ZERO_CAPACITY",0,$K$4*D195/$K$5))</x:f>
        <x:v>16875</x:v>
      </x:c>
      <x:c r="G195" s="21" t="str"/>
      <x:c r="H195" s="21" t="str"/>
    </x:row>
    <x:row r="196">
      <x:c r="A196" s="20" t="str">
        <x:v>093032</x:v>
      </x:c>
      <x:c r="B196" s="21" t="str">
        <x:v>Porcia</x:v>
      </x:c>
      <x:c r="C196" s="22" t="n">
        <x:v>6727</x:v>
      </x:c>
      <x:c r="D196" s="22" t="n">
        <x:v>107</x:v>
      </x:c>
      <x:c r="E196" s="21" t="str">
        <x:v>OBSERVED</x:v>
      </x:c>
      <x:c r="F196" s="23" t="n">
        <x:f>IF(E196="OBSERVED",C196,IF(E196="ZERO_CAPACITY",0,$K$4*D196/$K$5))</x:f>
        <x:v>6727</x:v>
      </x:c>
      <x:c r="G196" s="21" t="str"/>
      <x:c r="H196" s="21" t="str"/>
    </x:row>
    <x:row r="197">
      <x:c r="A197" s="20" t="str">
        <x:v>093033</x:v>
      </x:c>
      <x:c r="B197" s="21" t="str">
        <x:v>Pordenone</x:v>
      </x:c>
      <x:c r="C197" s="22" t="n">
        <x:v>122359</x:v>
      </x:c>
      <x:c r="D197" s="22" t="n">
        <x:v>1422</x:v>
      </x:c>
      <x:c r="E197" s="21" t="str">
        <x:v>OBSERVED</x:v>
      </x:c>
      <x:c r="F197" s="23" t="n">
        <x:f>IF(E197="OBSERVED",C197,IF(E197="ZERO_CAPACITY",0,$K$4*D197/$K$5))</x:f>
        <x:v>122359</x:v>
      </x:c>
      <x:c r="G197" s="21" t="str"/>
      <x:c r="H197" s="21" t="str"/>
    </x:row>
    <x:row r="198">
      <x:c r="A198" s="20" t="str">
        <x:v>093034</x:v>
      </x:c>
      <x:c r="B198" s="21" t="str">
        <x:v>Prata di Pordenone</x:v>
      </x:c>
      <x:c r="C198" s="22" t="n">
        <x:v>22190</x:v>
      </x:c>
      <x:c r="D198" s="22" t="n">
        <x:v>188</x:v>
      </x:c>
      <x:c r="E198" s="21" t="str">
        <x:v>OBSERVED</x:v>
      </x:c>
      <x:c r="F198" s="23" t="n">
        <x:f>IF(E198="OBSERVED",C198,IF(E198="ZERO_CAPACITY",0,$K$4*D198/$K$5))</x:f>
        <x:v>22190</x:v>
      </x:c>
      <x:c r="G198" s="21" t="str"/>
      <x:c r="H198" s="21" t="str"/>
    </x:row>
    <x:row r="199">
      <x:c r="A199" s="20" t="str">
        <x:v>093035</x:v>
      </x:c>
      <x:c r="B199" s="21" t="str">
        <x:v>Pravisdomini</x:v>
      </x:c>
      <x:c r="C199" s="22"/>
      <x:c r="D199" s="22" t="n">
        <x:v>34</x:v>
      </x:c>
      <x:c r="E199" s="21" t="str">
        <x:v>IMPUTED_BEDS_RESIDUAL</x:v>
      </x:c>
      <x:c r="F199" s="23" t="n">
        <x:f>IF(E199="OBSERVED",C199,IF(E199="ZERO_CAPACITY",0,$K$4*D199/$K$5))</x:f>
        <x:v>538.2372881355932</x:v>
      </x:c>
      <x:c r="G199" s="21" t="str"/>
      <x:c r="H199" s="21" t="str"/>
    </x:row>
    <x:row r="200">
      <x:c r="A200" s="20" t="str">
        <x:v>093036</x:v>
      </x:c>
      <x:c r="B200" s="21" t="str">
        <x:v>Roveredo in Piano</x:v>
      </x:c>
      <x:c r="C200" s="22" t="n">
        <x:v>1345</x:v>
      </x:c>
      <x:c r="D200" s="22" t="n">
        <x:v>40</x:v>
      </x:c>
      <x:c r="E200" s="21" t="str">
        <x:v>OBSERVED</x:v>
      </x:c>
      <x:c r="F200" s="23" t="n">
        <x:f>IF(E200="OBSERVED",C200,IF(E200="ZERO_CAPACITY",0,$K$4*D200/$K$5))</x:f>
        <x:v>1345</x:v>
      </x:c>
      <x:c r="G200" s="21" t="str"/>
      <x:c r="H200" s="21" t="str"/>
    </x:row>
    <x:row r="201">
      <x:c r="A201" s="20" t="str">
        <x:v>093037</x:v>
      </x:c>
      <x:c r="B201" s="21" t="str">
        <x:v>Sacile</x:v>
      </x:c>
      <x:c r="C201" s="22" t="n">
        <x:v>44035</x:v>
      </x:c>
      <x:c r="D201" s="22" t="n">
        <x:v>340</x:v>
      </x:c>
      <x:c r="E201" s="21" t="str">
        <x:v>OBSERVED</x:v>
      </x:c>
      <x:c r="F201" s="23" t="n">
        <x:f>IF(E201="OBSERVED",C201,IF(E201="ZERO_CAPACITY",0,$K$4*D201/$K$5))</x:f>
        <x:v>44035</x:v>
      </x:c>
      <x:c r="G201" s="21" t="str"/>
      <x:c r="H201" s="21" t="str"/>
    </x:row>
    <x:row r="202">
      <x:c r="A202" s="20" t="str">
        <x:v>093038</x:v>
      </x:c>
      <x:c r="B202" s="21" t="str">
        <x:v>San Giorgio della Richinvelda</x:v>
      </x:c>
      <x:c r="C202" s="22" t="n">
        <x:v>1629</x:v>
      </x:c>
      <x:c r="D202" s="22" t="n">
        <x:v>33</x:v>
      </x:c>
      <x:c r="E202" s="21" t="str">
        <x:v>OBSERVED</x:v>
      </x:c>
      <x:c r="F202" s="23" t="n">
        <x:f>IF(E202="OBSERVED",C202,IF(E202="ZERO_CAPACITY",0,$K$4*D202/$K$5))</x:f>
        <x:v>1629</x:v>
      </x:c>
      <x:c r="G202" s="21" t="str"/>
      <x:c r="H202" s="21" t="str"/>
    </x:row>
    <x:row r="203">
      <x:c r="A203" s="20" t="str">
        <x:v>093039</x:v>
      </x:c>
      <x:c r="B203" s="21" t="str">
        <x:v>San Martino al Tagliamento</x:v>
      </x:c>
      <x:c r="C203" s="22"/>
      <x:c r="D203" s="22" t="n">
        <x:v>24</x:v>
      </x:c>
      <x:c r="E203" s="21" t="str">
        <x:v>IMPUTED_BEDS_RESIDUAL</x:v>
      </x:c>
      <x:c r="F203" s="23" t="n">
        <x:f>IF(E203="OBSERVED",C203,IF(E203="ZERO_CAPACITY",0,$K$4*D203/$K$5))</x:f>
        <x:v>379.93220338983053</x:v>
      </x:c>
      <x:c r="G203" s="21" t="str"/>
      <x:c r="H203" s="21" t="str"/>
    </x:row>
    <x:row r="204">
      <x:c r="A204" s="20" t="str">
        <x:v>093040</x:v>
      </x:c>
      <x:c r="B204" s="21" t="str">
        <x:v>San Quirino</x:v>
      </x:c>
      <x:c r="C204" s="22" t="n">
        <x:v>535</x:v>
      </x:c>
      <x:c r="D204" s="22" t="n">
        <x:v>18</x:v>
      </x:c>
      <x:c r="E204" s="21" t="str">
        <x:v>OBSERVED</x:v>
      </x:c>
      <x:c r="F204" s="23" t="n">
        <x:f>IF(E204="OBSERVED",C204,IF(E204="ZERO_CAPACITY",0,$K$4*D204/$K$5))</x:f>
        <x:v>535</x:v>
      </x:c>
      <x:c r="G204" s="21" t="str"/>
      <x:c r="H204" s="21" t="str"/>
    </x:row>
    <x:row r="205">
      <x:c r="A205" s="20" t="str">
        <x:v>093041</x:v>
      </x:c>
      <x:c r="B205" s="21" t="str">
        <x:v>San Vito al Tagliamento</x:v>
      </x:c>
      <x:c r="C205" s="22" t="n">
        <x:v>30299</x:v>
      </x:c>
      <x:c r="D205" s="22" t="n">
        <x:v>338</x:v>
      </x:c>
      <x:c r="E205" s="21" t="str">
        <x:v>OBSERVED</x:v>
      </x:c>
      <x:c r="F205" s="23" t="n">
        <x:f>IF(E205="OBSERVED",C205,IF(E205="ZERO_CAPACITY",0,$K$4*D205/$K$5))</x:f>
        <x:v>30299</x:v>
      </x:c>
      <x:c r="G205" s="21" t="str"/>
      <x:c r="H205" s="21" t="str"/>
    </x:row>
    <x:row r="206">
      <x:c r="A206" s="20" t="str">
        <x:v>093042</x:v>
      </x:c>
      <x:c r="B206" s="21" t="str">
        <x:v>Sequals</x:v>
      </x:c>
      <x:c r="C206" s="22" t="n">
        <x:v>11667</x:v>
      </x:c>
      <x:c r="D206" s="22" t="n">
        <x:v>200</x:v>
      </x:c>
      <x:c r="E206" s="21" t="str">
        <x:v>OBSERVED</x:v>
      </x:c>
      <x:c r="F206" s="23" t="n">
        <x:f>IF(E206="OBSERVED",C206,IF(E206="ZERO_CAPACITY",0,$K$4*D206/$K$5))</x:f>
        <x:v>11667</x:v>
      </x:c>
      <x:c r="G206" s="21" t="str"/>
      <x:c r="H206" s="21" t="str"/>
    </x:row>
    <x:row r="207">
      <x:c r="A207" s="20" t="str">
        <x:v>093043</x:v>
      </x:c>
      <x:c r="B207" s="21" t="str">
        <x:v>Sesto al Reghena</x:v>
      </x:c>
      <x:c r="C207" s="22" t="n">
        <x:v>9959</x:v>
      </x:c>
      <x:c r="D207" s="22" t="n">
        <x:v>221</x:v>
      </x:c>
      <x:c r="E207" s="21" t="str">
        <x:v>OBSERVED</x:v>
      </x:c>
      <x:c r="F207" s="23" t="n">
        <x:f>IF(E207="OBSERVED",C207,IF(E207="ZERO_CAPACITY",0,$K$4*D207/$K$5))</x:f>
        <x:v>9959</x:v>
      </x:c>
      <x:c r="G207" s="21" t="str"/>
      <x:c r="H207" s="21" t="str"/>
    </x:row>
    <x:row r="208">
      <x:c r="A208" s="20" t="str">
        <x:v>093044</x:v>
      </x:c>
      <x:c r="B208" s="21" t="str">
        <x:v>Spilimbergo</x:v>
      </x:c>
      <x:c r="C208" s="22" t="n">
        <x:v>21359</x:v>
      </x:c>
      <x:c r="D208" s="22" t="n">
        <x:v>330</x:v>
      </x:c>
      <x:c r="E208" s="21" t="str">
        <x:v>OBSERVED</x:v>
      </x:c>
      <x:c r="F208" s="23" t="n">
        <x:f>IF(E208="OBSERVED",C208,IF(E208="ZERO_CAPACITY",0,$K$4*D208/$K$5))</x:f>
        <x:v>21359</x:v>
      </x:c>
      <x:c r="G208" s="21" t="str"/>
      <x:c r="H208" s="21" t="str"/>
    </x:row>
    <x:row r="209">
      <x:c r="A209" s="20" t="str">
        <x:v>093045</x:v>
      </x:c>
      <x:c r="B209" s="21" t="str">
        <x:v>Tramonti di Sopra</x:v>
      </x:c>
      <x:c r="C209" s="22"/>
      <x:c r="D209" s="22" t="n">
        <x:v>21</x:v>
      </x:c>
      <x:c r="E209" s="21" t="str">
        <x:v>IMPUTED_BEDS_RESIDUAL</x:v>
      </x:c>
      <x:c r="F209" s="23" t="n">
        <x:f>IF(E209="OBSERVED",C209,IF(E209="ZERO_CAPACITY",0,$K$4*D209/$K$5))</x:f>
        <x:v>332.4406779661017</x:v>
      </x:c>
      <x:c r="G209" s="21" t="str"/>
      <x:c r="H209" s="21" t="str"/>
    </x:row>
    <x:row r="210">
      <x:c r="A210" s="20" t="str">
        <x:v>093046</x:v>
      </x:c>
      <x:c r="B210" s="21" t="str">
        <x:v>Tramonti di Sotto</x:v>
      </x:c>
      <x:c r="C210" s="22" t="n">
        <x:v>442</x:v>
      </x:c>
      <x:c r="D210" s="22" t="n">
        <x:v>169</x:v>
      </x:c>
      <x:c r="E210" s="21" t="str">
        <x:v>OBSERVED</x:v>
      </x:c>
      <x:c r="F210" s="23" t="n">
        <x:f>IF(E210="OBSERVED",C210,IF(E210="ZERO_CAPACITY",0,$K$4*D210/$K$5))</x:f>
        <x:v>442</x:v>
      </x:c>
      <x:c r="G210" s="21" t="str"/>
      <x:c r="H210" s="21" t="str"/>
    </x:row>
    <x:row r="211">
      <x:c r="A211" s="20" t="str">
        <x:v>093047</x:v>
      </x:c>
      <x:c r="B211" s="21" t="str">
        <x:v>Travesio</x:v>
      </x:c>
      <x:c r="C211" s="22"/>
      <x:c r="D211" s="22" t="n">
        <x:v>42</x:v>
      </x:c>
      <x:c r="E211" s="21" t="str">
        <x:v>IMPUTED_BEDS_RESIDUAL</x:v>
      </x:c>
      <x:c r="F211" s="23" t="n">
        <x:f>IF(E211="OBSERVED",C211,IF(E211="ZERO_CAPACITY",0,$K$4*D211/$K$5))</x:f>
        <x:v>664.8813559322034</x:v>
      </x:c>
      <x:c r="G211" s="21" t="str"/>
      <x:c r="H211" s="21" t="str"/>
    </x:row>
    <x:row r="212">
      <x:c r="A212" s="20" t="str">
        <x:v>093049</x:v>
      </x:c>
      <x:c r="B212" s="21" t="str">
        <x:v>Vito d'Asio</x:v>
      </x:c>
      <x:c r="C212" s="22" t="n">
        <x:v>267</x:v>
      </x:c>
      <x:c r="D212" s="22" t="n">
        <x:v>65</x:v>
      </x:c>
      <x:c r="E212" s="21" t="str">
        <x:v>OBSERVED</x:v>
      </x:c>
      <x:c r="F212" s="23" t="n">
        <x:f>IF(E212="OBSERVED",C212,IF(E212="ZERO_CAPACITY",0,$K$4*D212/$K$5))</x:f>
        <x:v>267</x:v>
      </x:c>
      <x:c r="G212" s="21" t="str"/>
      <x:c r="H212" s="21" t="str"/>
    </x:row>
    <x:row r="213">
      <x:c r="A213" s="20" t="str">
        <x:v>093050</x:v>
      </x:c>
      <x:c r="B213" s="21" t="str">
        <x:v>Vivaro</x:v>
      </x:c>
      <x:c r="C213" s="22" t="n">
        <x:v>16611</x:v>
      </x:c>
      <x:c r="D213" s="22" t="n">
        <x:v>191</x:v>
      </x:c>
      <x:c r="E213" s="21" t="str">
        <x:v>OBSERVED</x:v>
      </x:c>
      <x:c r="F213" s="23" t="n">
        <x:f>IF(E213="OBSERVED",C213,IF(E213="ZERO_CAPACITY",0,$K$4*D213/$K$5))</x:f>
        <x:v>16611</x:v>
      </x:c>
      <x:c r="G213" s="21" t="str"/>
      <x:c r="H213" s="21" t="str"/>
    </x:row>
    <x:row r="214">
      <x:c r="A214" s="20" t="str">
        <x:v>093051</x:v>
      </x:c>
      <x:c r="B214" s="21" t="str">
        <x:v>Zoppola</x:v>
      </x:c>
      <x:c r="C214" s="22" t="n">
        <x:v>11925</x:v>
      </x:c>
      <x:c r="D214" s="22" t="n">
        <x:v>152</x:v>
      </x:c>
      <x:c r="E214" s="21" t="str">
        <x:v>OBSERVED</x:v>
      </x:c>
      <x:c r="F214" s="23" t="n">
        <x:f>IF(E214="OBSERVED",C214,IF(E214="ZERO_CAPACITY",0,$K$4*D214/$K$5))</x:f>
        <x:v>11925</x:v>
      </x:c>
      <x:c r="G214" s="21" t="str"/>
      <x:c r="H214" s="21" t="str"/>
    </x:row>
    <x:row r="215">
      <x:c r="A215" s="20" t="str">
        <x:v>093052</x:v>
      </x:c>
      <x:c r="B215" s="21" t="str">
        <x:v>Vajont</x:v>
      </x:c>
      <x:c r="C215" s="22"/>
      <x:c r="D215" s="22" t="n">
        <x:v>70</x:v>
      </x:c>
      <x:c r="E215" s="21" t="str">
        <x:v>IMPUTED_BEDS_RESIDUAL</x:v>
      </x:c>
      <x:c r="F215" s="23" t="n">
        <x:f>IF(E215="OBSERVED",C215,IF(E215="ZERO_CAPACITY",0,$K$4*D215/$K$5))</x:f>
        <x:v>1108.135593220339</x:v>
      </x:c>
      <x:c r="G215" s="21" t="str"/>
      <x:c r="H215" s="21" t="str"/>
    </x:row>
    <x:row r="216">
      <x:c r="A216" s="20" t="str">
        <x:v>093053</x:v>
      </x:c>
      <x:c r="B216" s="21" t="str">
        <x:v>Valvasone Arzene</x:v>
      </x:c>
      <x:c r="C216" s="22" t="n">
        <x:v>1206</x:v>
      </x:c>
      <x:c r="D216" s="22" t="n">
        <x:v>43</x:v>
      </x:c>
      <x:c r="E216" s="21" t="str">
        <x:v>OBSERVED</x:v>
      </x:c>
      <x:c r="F216" s="23" t="n">
        <x:f>IF(E216="OBSERVED",C216,IF(E216="ZERO_CAPACITY",0,$K$4*D216/$K$5))</x:f>
        <x:v>1206</x:v>
      </x:c>
      <x:c r="G216" s="21" t="str"/>
      <x:c r="H216" s="21" t="str"/>
    </x:row>
  </x:sheetData>
  <x:conditionalFormatting sqref="A2:H216">
    <x:cfRule type="expression" dxfId="1" priority="1">
      <x:formula>$E2="IMPUTED_BEDS_RESIDUAL"</x:formula>
    </x:cfRule>
    <x:cfRule type="expression" dxfId="2" priority="2">
      <x:formula>$E2="ZERO_CAPACITY"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9d2037d37f44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20" hidden="0" customWidth="1"/>
    <x:col min="4" max="4" width="16" hidden="0" customWidth="1"/>
    <x:col min="5" max="5" width="20" hidden="0" customWidth="1"/>
    <x:col min="6" max="6" width="22" hidden="0" customWidth="1"/>
    <x:col min="7" max="7" width="24" hidden="0" customWidth="1"/>
    <x:col min="8" max="8" width="16" hidden="0" customWidth="1"/>
    <x:col min="9" max="9" width="24" hidden="0" customWidth="1"/>
    <x:col min="10" max="10" width="30" hidden="0" customWidth="1"/>
    <x:col min="11" max="11" width="24" hidden="0" customWidth="1"/>
    <x:col min="12" max="12" width="10" hidden="0" customWidth="1"/>
    <x:col min="13" max="13" width="40" hidden="0" customWidth="1"/>
    <x:col min="14" max="14" width="55" hidden="0" customWidth="1"/>
    <x:col min="15" max="15" width="22" hidden="0" customWidth="1"/>
    <x:col min="16" max="16" width="28" hidden="0" customWidth="1"/>
  </x:cols>
  <x:sheetData>
    <x:row r="1">
      <x:c r="A1" s="34" t="str">
        <x:v>PRO_COM</x:v>
      </x:c>
      <x:c r="B1" s="34" t="str">
        <x:v>COMUNE</x:v>
      </x:c>
      <x:c r="C1" s="34" t="str">
        <x:v>DATA_REF_PERIOD</x:v>
      </x:c>
      <x:c r="D1" s="34" t="str">
        <x:v>MEDIA_SUP_MQ</x:v>
      </x:c>
      <x:c r="E1" s="34" t="str">
        <x:v>GRANDE_SINGOLA_MQ</x:v>
      </x:c>
      <x:c r="F1" s="34" t="str">
        <x:v>CENTRO_COMMERCIALE_MQ</x:v>
      </x:c>
      <x:c r="G1" s="34" t="str">
        <x:v>COMPLESSO_COMMERCIALE_MQ</x:v>
      </x:c>
      <x:c r="H1" s="34" t="str">
        <x:v>GDO_RAW</x:v>
      </x:c>
      <x:c r="I1" s="34" t="str">
        <x:v>GDO_STATUS</x:v>
      </x:c>
      <x:c r="J1" s="34" t="str">
        <x:v>SOURCE_NAME</x:v>
      </x:c>
      <x:c r="K1" s="34" t="str">
        <x:v>JOIN_TYPE</x:v>
      </x:c>
      <x:c r="L1" s="34" t="str">
        <x:v>PDF_PAGE</x:v>
      </x:c>
      <x:c r="M1" s="34" t="str">
        <x:v>SOURCE_KIND</x:v>
      </x:c>
      <x:c r="N1" s="34" t="str">
        <x:v>SOURCE_URL</x:v>
      </x:c>
      <x:c r="O1" s="34" t="str">
        <x:v>ZERO_SOURCE</x:v>
      </x:c>
      <x:c r="P1" s="34" t="str">
        <x:v>GDO_SOURCE</x:v>
      </x:c>
    </x:row>
    <x:row r="2">
      <x:c r="A2" s="20" t="str">
        <x:v>030001</x:v>
      </x:c>
      <x:c r="B2" s="21" t="str">
        <x:v>Aiello del Friuli</x:v>
      </x:c>
      <x:c r="C2" s="21" t="str">
        <x:v>2023_Q4</x:v>
      </x:c>
      <x:c r="D2" s="24" t="n">
        <x:v>700</x:v>
      </x:c>
      <x:c r="E2" s="24" t="n">
        <x:v>0</x:v>
      </x:c>
      <x:c r="F2" s="24" t="n">
        <x:v>14300</x:v>
      </x:c>
      <x:c r="G2" s="24" t="n">
        <x:v>0</x:v>
      </x:c>
      <x:c r="H2" s="24" t="n">
        <x:f>SUM(D2:G2)</x:f>
        <x:v>15000</x:v>
      </x:c>
      <x:c r="I2" s="21" t="str">
        <x:v>OBSERVED_POSITIVE</x:v>
      </x:c>
      <x:c r="J2" s="21" t="str">
        <x:v>AIELLO DEL FRIULI</x:v>
      </x:c>
      <x:c r="K2" s="21" t="str">
        <x:v>DIRECT_NOMINAL</x:v>
      </x:c>
      <x:c r="L2" s="52" t="n">
        <x:v>64</x:v>
      </x:c>
      <x:c r="M2" s="21" t="str">
        <x:v>RAFVG_PDF_MUNICIPAL_TABLE</x:v>
      </x:c>
      <x:c r="N2" s="21" t="str">
        <x:v>https://www.consiglio.regione.fvg.it/cms/export/sites/consiglio/attivita/valutazione/Relazioni-informative/allegati/CV-LR-29-2005_V.pdf</x:v>
      </x:c>
      <x:c r="O2" s="21" t="str">
        <x:v>NOT_ZERO</x:v>
      </x:c>
      <x:c r="P2" s="21" t="str">
        <x:v>RAFVG_REGIONAL_TABLE_2023</x:v>
      </x:c>
    </x:row>
    <x:row r="3">
      <x:c r="A3" s="20" t="str">
        <x:v>030002</x:v>
      </x:c>
      <x:c r="B3" s="21" t="str">
        <x:v>Amaro</x:v>
      </x:c>
      <x:c r="C3" s="21" t="str">
        <x:v>2023_Q4</x:v>
      </x:c>
      <x:c r="D3" s="24" t="n">
        <x:v>0</x:v>
      </x:c>
      <x:c r="E3" s="24" t="n">
        <x:v>0</x:v>
      </x:c>
      <x:c r="F3" s="24" t="n">
        <x:v>8000</x:v>
      </x:c>
      <x:c r="G3" s="24" t="n">
        <x:v>3754</x:v>
      </x:c>
      <x:c r="H3" s="24" t="n">
        <x:f>SUM(D3:G3)</x:f>
        <x:v>11754</x:v>
      </x:c>
      <x:c r="I3" s="21" t="str">
        <x:v>OBSERVED_POSITIVE</x:v>
      </x:c>
      <x:c r="J3" s="21" t="str">
        <x:v>AMARO</x:v>
      </x:c>
      <x:c r="K3" s="21" t="str">
        <x:v>DIRECT_NOMINAL</x:v>
      </x:c>
      <x:c r="L3" s="52" t="n">
        <x:v>64</x:v>
      </x:c>
      <x:c r="M3" s="21" t="str">
        <x:v>RAFVG_PDF_MUNICIPAL_TABLE</x:v>
      </x:c>
      <x:c r="N3" s="21" t="str">
        <x:v>https://www.consiglio.regione.fvg.it/cms/export/sites/consiglio/attivita/valutazione/Relazioni-informative/allegati/CV-LR-29-2005_V.pdf</x:v>
      </x:c>
      <x:c r="O3" s="21" t="str">
        <x:v>NOT_ZERO</x:v>
      </x:c>
      <x:c r="P3" s="21" t="str">
        <x:v>RAFVG_REGIONAL_TABLE_2023</x:v>
      </x:c>
    </x:row>
    <x:row r="4">
      <x:c r="A4" s="20" t="str">
        <x:v>030003</x:v>
      </x:c>
      <x:c r="B4" s="21" t="str">
        <x:v>Ampezzo</x:v>
      </x:c>
      <x:c r="C4" s="21" t="str">
        <x:v>2023_Q4</x:v>
      </x:c>
      <x:c r="D4" s="24" t="n">
        <x:v>0</x:v>
      </x:c>
      <x:c r="E4" s="24" t="n">
        <x:v>0</x:v>
      </x:c>
      <x:c r="F4" s="24" t="n">
        <x:v>0</x:v>
      </x:c>
      <x:c r="G4" s="24" t="n">
        <x:v>0</x:v>
      </x:c>
      <x:c r="H4" s="24" t="n">
        <x:f>SUM(D4:G4)</x:f>
        <x:v>0</x:v>
      </x:c>
      <x:c r="I4" s="21" t="str">
        <x:v>ZERO_REAL_SOURCE_TABLE</x:v>
      </x:c>
      <x:c r="J4" s="21" t="str">
        <x:v>AMPEZZO</x:v>
      </x:c>
      <x:c r="K4" s="21" t="str">
        <x:v>DIRECT_NOMINAL</x:v>
      </x:c>
      <x:c r="L4" s="52" t="n">
        <x:v>64</x:v>
      </x:c>
      <x:c r="M4" s="21" t="str">
        <x:v>RAFVG_PDF_MUNICIPAL_TABLE</x:v>
      </x:c>
      <x:c r="N4" s="21" t="str">
        <x:v>https://www.consiglio.regione.fvg.it/cms/export/sites/consiglio/attivita/valutazione/Relazioni-informative/allegati/CV-LR-29-2005_V.pdf</x:v>
      </x:c>
      <x:c r="O4" s="21" t="str">
        <x:v>REGIONAL_TABLE</x:v>
      </x:c>
      <x:c r="P4" s="21" t="str">
        <x:v>RAFVG_REGIONAL_TABLE_2023</x:v>
      </x:c>
    </x:row>
    <x:row r="5">
      <x:c r="A5" s="20" t="str">
        <x:v>030004</x:v>
      </x:c>
      <x:c r="B5" s="21" t="str">
        <x:v>Aquileia</x:v>
      </x:c>
      <x:c r="C5" s="21" t="str">
        <x:v>2023_Q4</x:v>
      </x:c>
      <x:c r="D5" s="24" t="n">
        <x:v>0</x:v>
      </x:c>
      <x:c r="E5" s="24" t="n">
        <x:v>0</x:v>
      </x:c>
      <x:c r="F5" s="24" t="n">
        <x:v>0</x:v>
      </x:c>
      <x:c r="G5" s="24" t="n">
        <x:v>0</x:v>
      </x:c>
      <x:c r="H5" s="24" t="n">
        <x:f>SUM(D5:G5)</x:f>
        <x:v>0</x:v>
      </x:c>
      <x:c r="I5" s="21" t="str">
        <x:v>ZERO_REAL_SOURCE_TABLE</x:v>
      </x:c>
      <x:c r="J5" s="21" t="str">
        <x:v>AQUILEIA</x:v>
      </x:c>
      <x:c r="K5" s="21" t="str">
        <x:v>DIRECT_NOMINAL</x:v>
      </x:c>
      <x:c r="L5" s="52" t="n">
        <x:v>64</x:v>
      </x:c>
      <x:c r="M5" s="21" t="str">
        <x:v>RAFVG_PDF_MUNICIPAL_TABLE</x:v>
      </x:c>
      <x:c r="N5" s="21" t="str">
        <x:v>https://www.consiglio.regione.fvg.it/cms/export/sites/consiglio/attivita/valutazione/Relazioni-informative/allegati/CV-LR-29-2005_V.pdf</x:v>
      </x:c>
      <x:c r="O5" s="21" t="str">
        <x:v>REGIONAL_TABLE</x:v>
      </x:c>
      <x:c r="P5" s="21" t="str">
        <x:v>RAFVG_REGIONAL_TABLE_2023</x:v>
      </x:c>
    </x:row>
    <x:row r="6">
      <x:c r="A6" s="20" t="str">
        <x:v>030005</x:v>
      </x:c>
      <x:c r="B6" s="21" t="str">
        <x:v>Arta Terme</x:v>
      </x:c>
      <x:c r="C6" s="21" t="str">
        <x:v>2023_Q4</x:v>
      </x:c>
      <x:c r="D6" s="24" t="n">
        <x:v>582</x:v>
      </x:c>
      <x:c r="E6" s="24" t="n">
        <x:v>0</x:v>
      </x:c>
      <x:c r="F6" s="24" t="n">
        <x:v>0</x:v>
      </x:c>
      <x:c r="G6" s="24" t="n">
        <x:v>0</x:v>
      </x:c>
      <x:c r="H6" s="24" t="n">
        <x:f>SUM(D6:G6)</x:f>
        <x:v>582</x:v>
      </x:c>
      <x:c r="I6" s="21" t="str">
        <x:v>OBSERVED_POSITIVE</x:v>
      </x:c>
      <x:c r="J6" s="21" t="str">
        <x:v>ARTA TERME</x:v>
      </x:c>
      <x:c r="K6" s="21" t="str">
        <x:v>DIRECT_NOMINAL</x:v>
      </x:c>
      <x:c r="L6" s="52" t="n">
        <x:v>64</x:v>
      </x:c>
      <x:c r="M6" s="21" t="str">
        <x:v>RAFVG_PDF_MUNICIPAL_TABLE</x:v>
      </x:c>
      <x:c r="N6" s="21" t="str">
        <x:v>https://www.consiglio.regione.fvg.it/cms/export/sites/consiglio/attivita/valutazione/Relazioni-informative/allegati/CV-LR-29-2005_V.pdf</x:v>
      </x:c>
      <x:c r="O6" s="21" t="str">
        <x:v>NOT_ZERO</x:v>
      </x:c>
      <x:c r="P6" s="21" t="str">
        <x:v>RAFVG_REGIONAL_TABLE_2023</x:v>
      </x:c>
    </x:row>
    <x:row r="7">
      <x:c r="A7" s="20" t="str">
        <x:v>030006</x:v>
      </x:c>
      <x:c r="B7" s="21" t="str">
        <x:v>Artegna</x:v>
      </x:c>
      <x:c r="C7" s="21" t="str">
        <x:v>2023_Q4</x:v>
      </x:c>
      <x:c r="D7" s="24" t="n">
        <x:v>0</x:v>
      </x:c>
      <x:c r="E7" s="24" t="n">
        <x:v>1528</x:v>
      </x:c>
      <x:c r="F7" s="24" t="n">
        <x:v>0</x:v>
      </x:c>
      <x:c r="G7" s="24" t="n">
        <x:v>0</x:v>
      </x:c>
      <x:c r="H7" s="24" t="n">
        <x:f>SUM(D7:G7)</x:f>
        <x:v>1528</x:v>
      </x:c>
      <x:c r="I7" s="21" t="str">
        <x:v>OBSERVED_POSITIVE</x:v>
      </x:c>
      <x:c r="J7" s="21" t="str">
        <x:v>ARTEGNA</x:v>
      </x:c>
      <x:c r="K7" s="21" t="str">
        <x:v>DIRECT_NOMINAL</x:v>
      </x:c>
      <x:c r="L7" s="52" t="n">
        <x:v>65</x:v>
      </x:c>
      <x:c r="M7" s="21" t="str">
        <x:v>RAFVG_PDF_MUNICIPAL_TABLE</x:v>
      </x:c>
      <x:c r="N7" s="21" t="str">
        <x:v>https://www.consiglio.regione.fvg.it/cms/export/sites/consiglio/attivita/valutazione/Relazioni-informative/allegati/CV-LR-29-2005_V.pdf</x:v>
      </x:c>
      <x:c r="O7" s="21" t="str">
        <x:v>NOT_ZERO</x:v>
      </x:c>
      <x:c r="P7" s="21" t="str">
        <x:v>RAFVG_REGIONAL_TABLE_2023</x:v>
      </x:c>
    </x:row>
    <x:row r="8">
      <x:c r="A8" s="20" t="str">
        <x:v>030007</x:v>
      </x:c>
      <x:c r="B8" s="21" t="str">
        <x:v>Attimis</x:v>
      </x:c>
      <x:c r="C8" s="21" t="str">
        <x:v>2023_Q4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n">
        <x:f>SUM(D8:G8)</x:f>
        <x:v>0</x:v>
      </x:c>
      <x:c r="I8" s="21" t="str">
        <x:v>ZERO_REAL_SOURCE_TABLE</x:v>
      </x:c>
      <x:c r="J8" s="21" t="str">
        <x:v>ATTIMIS</x:v>
      </x:c>
      <x:c r="K8" s="21" t="str">
        <x:v>DIRECT_NOMINAL</x:v>
      </x:c>
      <x:c r="L8" s="52" t="n">
        <x:v>65</x:v>
      </x:c>
      <x:c r="M8" s="21" t="str">
        <x:v>RAFVG_PDF_MUNICIPAL_TABLE</x:v>
      </x:c>
      <x:c r="N8" s="21" t="str">
        <x:v>https://www.consiglio.regione.fvg.it/cms/export/sites/consiglio/attivita/valutazione/Relazioni-informative/allegati/CV-LR-29-2005_V.pdf</x:v>
      </x:c>
      <x:c r="O8" s="21" t="str">
        <x:v>REGIONAL_TABLE</x:v>
      </x:c>
      <x:c r="P8" s="21" t="str">
        <x:v>RAFVG_REGIONAL_TABLE_2023</x:v>
      </x:c>
    </x:row>
    <x:row r="9">
      <x:c r="A9" s="20" t="str">
        <x:v>030008</x:v>
      </x:c>
      <x:c r="B9" s="21" t="str">
        <x:v>Bagnaria Arsa</x:v>
      </x:c>
      <x:c r="C9" s="21" t="str">
        <x:v>2022_Q2</x:v>
      </x:c>
      <x:c r="D9" s="24" t="n">
        <x:v>0</x:v>
      </x:c>
      <x:c r="E9" s="24" t="n">
        <x:v>0</x:v>
      </x:c>
      <x:c r="F9" s="24" t="n">
        <x:v>0</x:v>
      </x:c>
      <x:c r="G9" s="24" t="n">
        <x:v>19675</x:v>
      </x:c>
      <x:c r="H9" s="24" t="n">
        <x:f>SUM(D9:G9)</x:f>
        <x:v>19675</x:v>
      </x:c>
      <x:c r="I9" s="21" t="str">
        <x:v>OBSERVED_POSITIVE</x:v>
      </x:c>
      <x:c r="J9" s="21" t="str">
        <x:v>BAGNARIA ARSA</x:v>
      </x:c>
      <x:c r="K9" s="21" t="str">
        <x:v>DIRECT_NOMINAL</x:v>
      </x:c>
      <x:c r="L9" s="52" t="n">
        <x:v>65</x:v>
      </x:c>
      <x:c r="M9" s="21" t="str">
        <x:v>RAFVG_PDF_MUNICIPAL_TABLE</x:v>
      </x:c>
      <x:c r="N9" s="21" t="str">
        <x:v>https://www.consiglio.regione.fvg.it/cms/export/sites/consiglio/attivita/valutazione/Relazioni-informative/allegati/CV-LR-29-2005_V.pdf</x:v>
      </x:c>
      <x:c r="O9" s="21" t="str">
        <x:v>NOT_ZERO</x:v>
      </x:c>
      <x:c r="P9" s="21" t="str">
        <x:v>RAFVG_REGIONAL_TABLE_2023</x:v>
      </x:c>
    </x:row>
    <x:row r="10">
      <x:c r="A10" s="20" t="str">
        <x:v>030009</x:v>
      </x:c>
      <x:c r="B10" s="21" t="str">
        <x:v>Basiliano</x:v>
      </x:c>
      <x:c r="C10" s="21" t="str">
        <x:v>2023_Q4</x:v>
      </x:c>
      <x:c r="D10" s="24" t="n">
        <x:v>0</x:v>
      </x:c>
      <x:c r="E10" s="24" t="n">
        <x:v>0</x:v>
      </x:c>
      <x:c r="F10" s="24" t="n">
        <x:v>7327</x:v>
      </x:c>
      <x:c r="G10" s="24" t="n">
        <x:v>0</x:v>
      </x:c>
      <x:c r="H10" s="24" t="n">
        <x:f>SUM(D10:G10)</x:f>
        <x:v>7327</x:v>
      </x:c>
      <x:c r="I10" s="21" t="str">
        <x:v>OBSERVED_POSITIVE</x:v>
      </x:c>
      <x:c r="J10" s="21" t="str">
        <x:v>BASILIANO</x:v>
      </x:c>
      <x:c r="K10" s="21" t="str">
        <x:v>DIRECT_NOMINAL</x:v>
      </x:c>
      <x:c r="L10" s="52" t="n">
        <x:v>65</x:v>
      </x:c>
      <x:c r="M10" s="21" t="str">
        <x:v>RAFVG_PDF_MUNICIPAL_TABLE</x:v>
      </x:c>
      <x:c r="N10" s="21" t="str">
        <x:v>https://www.consiglio.regione.fvg.it/cms/export/sites/consiglio/attivita/valutazione/Relazioni-informative/allegati/CV-LR-29-2005_V.pdf</x:v>
      </x:c>
      <x:c r="O10" s="21" t="str">
        <x:v>NOT_ZERO</x:v>
      </x:c>
      <x:c r="P10" s="21" t="str">
        <x:v>RAFVG_REGIONAL_TABLE_2023</x:v>
      </x:c>
    </x:row>
    <x:row r="11">
      <x:c r="A11" s="20" t="str">
        <x:v>030010</x:v>
      </x:c>
      <x:c r="B11" s="21" t="str">
        <x:v>Bertiolo</x:v>
      </x:c>
      <x:c r="C11" s="21" t="str">
        <x:v>2023_Q4</x:v>
      </x:c>
      <x:c r="D11" s="24" t="n">
        <x:v>2360.56</x:v>
      </x:c>
      <x:c r="E11" s="24" t="n">
        <x:v>0</x:v>
      </x:c>
      <x:c r="F11" s="24" t="n">
        <x:v>0</x:v>
      </x:c>
      <x:c r="G11" s="24" t="n">
        <x:v>0</x:v>
      </x:c>
      <x:c r="H11" s="24" t="n">
        <x:f>SUM(D11:G11)</x:f>
        <x:v>2360.56</x:v>
      </x:c>
      <x:c r="I11" s="21" t="str">
        <x:v>OBSERVED_POSITIVE</x:v>
      </x:c>
      <x:c r="J11" s="21" t="str">
        <x:v>BERTIOLO</x:v>
      </x:c>
      <x:c r="K11" s="21" t="str">
        <x:v>DIRECT_NOMINAL</x:v>
      </x:c>
      <x:c r="L11" s="52" t="n">
        <x:v>66</x:v>
      </x:c>
      <x:c r="M11" s="21" t="str">
        <x:v>RAFVG_PDF_MUNICIPAL_TABLE</x:v>
      </x:c>
      <x:c r="N11" s="21" t="str">
        <x:v>https://www.consiglio.regione.fvg.it/cms/export/sites/consiglio/attivita/valutazione/Relazioni-informative/allegati/CV-LR-29-2005_V.pdf</x:v>
      </x:c>
      <x:c r="O11" s="21" t="str">
        <x:v>NOT_ZERO</x:v>
      </x:c>
      <x:c r="P11" s="21" t="str">
        <x:v>RAFVG_REGIONAL_TABLE_2023</x:v>
      </x:c>
    </x:row>
    <x:row r="12">
      <x:c r="A12" s="20" t="str">
        <x:v>030011</x:v>
      </x:c>
      <x:c r="B12" s="21" t="str">
        <x:v>Bicinicco</x:v>
      </x:c>
      <x:c r="C12" s="21" t="str">
        <x:v>2023_Q4</x:v>
      </x:c>
      <x:c r="D12" s="24" t="n">
        <x:v>0</x:v>
      </x:c>
      <x:c r="E12" s="24" t="n">
        <x:v>0</x:v>
      </x:c>
      <x:c r="F12" s="24" t="n">
        <x:v>0</x:v>
      </x:c>
      <x:c r="G12" s="24" t="n">
        <x:v>0</x:v>
      </x:c>
      <x:c r="H12" s="24" t="n">
        <x:f>SUM(D12:G12)</x:f>
        <x:v>0</x:v>
      </x:c>
      <x:c r="I12" s="21" t="str">
        <x:v>ZERO_REAL_SOURCE_TABLE</x:v>
      </x:c>
      <x:c r="J12" s="21" t="str">
        <x:v>BICINICCO</x:v>
      </x:c>
      <x:c r="K12" s="21" t="str">
        <x:v>DIRECT_NOMINAL</x:v>
      </x:c>
      <x:c r="L12" s="52" t="n">
        <x:v>66</x:v>
      </x:c>
      <x:c r="M12" s="21" t="str">
        <x:v>RAFVG_PDF_MUNICIPAL_TABLE</x:v>
      </x:c>
      <x:c r="N12" s="21" t="str">
        <x:v>https://www.consiglio.regione.fvg.it/cms/export/sites/consiglio/attivita/valutazione/Relazioni-informative/allegati/CV-LR-29-2005_V.pdf</x:v>
      </x:c>
      <x:c r="O12" s="21" t="str">
        <x:v>REGIONAL_TABLE</x:v>
      </x:c>
      <x:c r="P12" s="21" t="str">
        <x:v>RAFVG_REGIONAL_TABLE_2023</x:v>
      </x:c>
    </x:row>
    <x:row r="13">
      <x:c r="A13" s="20" t="str">
        <x:v>030012</x:v>
      </x:c>
      <x:c r="B13" s="21" t="str">
        <x:v>Bordano</x:v>
      </x:c>
      <x:c r="C13" s="21" t="str">
        <x:v>2023_Q4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f>SUM(D13:G13)</x:f>
        <x:v>0</x:v>
      </x:c>
      <x:c r="I13" s="21" t="str">
        <x:v>ZERO_REAL_SOURCE_TABLE</x:v>
      </x:c>
      <x:c r="J13" s="21" t="str">
        <x:v>BORDANO</x:v>
      </x:c>
      <x:c r="K13" s="21" t="str">
        <x:v>DIRECT_NOMINAL</x:v>
      </x:c>
      <x:c r="L13" s="52" t="n">
        <x:v>66</x:v>
      </x:c>
      <x:c r="M13" s="21" t="str">
        <x:v>RAFVG_PDF_MUNICIPAL_TABLE</x:v>
      </x:c>
      <x:c r="N13" s="21" t="str">
        <x:v>https://www.consiglio.regione.fvg.it/cms/export/sites/consiglio/attivita/valutazione/Relazioni-informative/allegati/CV-LR-29-2005_V.pdf</x:v>
      </x:c>
      <x:c r="O13" s="21" t="str">
        <x:v>REGIONAL_TABLE</x:v>
      </x:c>
      <x:c r="P13" s="21" t="str">
        <x:v>RAFVG_REGIONAL_TABLE_2023</x:v>
      </x:c>
    </x:row>
    <x:row r="14">
      <x:c r="A14" s="20" t="str">
        <x:v>030013</x:v>
      </x:c>
      <x:c r="B14" s="21" t="str">
        <x:v>Buja</x:v>
      </x:c>
      <x:c r="C14" s="21" t="str">
        <x:v>2023_Q4</x:v>
      </x:c>
      <x:c r="D14" s="24" t="n">
        <x:v>990</x:v>
      </x:c>
      <x:c r="E14" s="24" t="n">
        <x:v>3037.38</x:v>
      </x:c>
      <x:c r="F14" s="24" t="n">
        <x:v>0</x:v>
      </x:c>
      <x:c r="G14" s="24" t="n">
        <x:v>0</x:v>
      </x:c>
      <x:c r="H14" s="24" t="n">
        <x:f>SUM(D14:G14)</x:f>
        <x:v>4027.38</x:v>
      </x:c>
      <x:c r="I14" s="21" t="str">
        <x:v>OBSERVED_POSITIVE</x:v>
      </x:c>
      <x:c r="J14" s="21" t="str">
        <x:v>BUIA</x:v>
      </x:c>
      <x:c r="K14" s="21" t="str">
        <x:v>ALIAS_DETERMINISTIC</x:v>
      </x:c>
      <x:c r="L14" s="52" t="n">
        <x:v>66</x:v>
      </x:c>
      <x:c r="M14" s="21" t="str">
        <x:v>RAFVG_PDF_MUNICIPAL_TABLE</x:v>
      </x:c>
      <x:c r="N14" s="21" t="str">
        <x:v>https://www.consiglio.regione.fvg.it/cms/export/sites/consiglio/attivita/valutazione/Relazioni-informative/allegati/CV-LR-29-2005_V.pdf</x:v>
      </x:c>
      <x:c r="O14" s="21" t="str">
        <x:v>NOT_ZERO</x:v>
      </x:c>
      <x:c r="P14" s="21" t="str">
        <x:v>RAFVG_REGIONAL_TABLE_2023</x:v>
      </x:c>
    </x:row>
    <x:row r="15">
      <x:c r="A15" s="20" t="str">
        <x:v>030014</x:v>
      </x:c>
      <x:c r="B15" s="21" t="str">
        <x:v>Buttrio</x:v>
      </x:c>
      <x:c r="C15" s="21" t="str">
        <x:v>2023_Q4</x:v>
      </x:c>
      <x:c r="D15" s="24" t="n">
        <x:v>850</x:v>
      </x:c>
      <x:c r="E15" s="24" t="n">
        <x:v>3058</x:v>
      </x:c>
      <x:c r="F15" s="24" t="n">
        <x:v>0</x:v>
      </x:c>
      <x:c r="G15" s="24" t="n">
        <x:v>5826</x:v>
      </x:c>
      <x:c r="H15" s="24" t="n">
        <x:f>SUM(D15:G15)</x:f>
        <x:v>9734</x:v>
      </x:c>
      <x:c r="I15" s="21" t="str">
        <x:v>OBSERVED_POSITIVE</x:v>
      </x:c>
      <x:c r="J15" s="21" t="str">
        <x:v>BUTTRIO</x:v>
      </x:c>
      <x:c r="K15" s="21" t="str">
        <x:v>DIRECT_NOMINAL</x:v>
      </x:c>
      <x:c r="L15" s="52" t="n">
        <x:v>66</x:v>
      </x:c>
      <x:c r="M15" s="21" t="str">
        <x:v>RAFVG_PDF_MUNICIPAL_TABLE</x:v>
      </x:c>
      <x:c r="N15" s="21" t="str">
        <x:v>https://www.consiglio.regione.fvg.it/cms/export/sites/consiglio/attivita/valutazione/Relazioni-informative/allegati/CV-LR-29-2005_V.pdf</x:v>
      </x:c>
      <x:c r="O15" s="21" t="str">
        <x:v>NOT_ZERO</x:v>
      </x:c>
      <x:c r="P15" s="21" t="str">
        <x:v>RAFVG_REGIONAL_TABLE_2023</x:v>
      </x:c>
    </x:row>
    <x:row r="16">
      <x:c r="A16" s="20" t="str">
        <x:v>030015</x:v>
      </x:c>
      <x:c r="B16" s="21" t="str">
        <x:v>Camino al Tagliamento</x:v>
      </x:c>
      <x:c r="C16" s="21" t="str">
        <x:v>2023_Q4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  <x:c r="H16" s="24" t="n">
        <x:f>SUM(D16:G16)</x:f>
        <x:v>0</x:v>
      </x:c>
      <x:c r="I16" s="21" t="str">
        <x:v>ZERO_REAL_SOURCE_TABLE</x:v>
      </x:c>
      <x:c r="J16" s="21" t="str">
        <x:v>CAMINO AL TAGLIAMENTO</x:v>
      </x:c>
      <x:c r="K16" s="21" t="str">
        <x:v>DIRECT_NOMINAL</x:v>
      </x:c>
      <x:c r="L16" s="52" t="n">
        <x:v>67</x:v>
      </x:c>
      <x:c r="M16" s="21" t="str">
        <x:v>RAFVG_PDF_MUNICIPAL_TABLE</x:v>
      </x:c>
      <x:c r="N16" s="21" t="str">
        <x:v>https://www.consiglio.regione.fvg.it/cms/export/sites/consiglio/attivita/valutazione/Relazioni-informative/allegati/CV-LR-29-2005_V.pdf</x:v>
      </x:c>
      <x:c r="O16" s="21" t="str">
        <x:v>REGIONAL_TABLE</x:v>
      </x:c>
      <x:c r="P16" s="21" t="str">
        <x:v>RAFVG_REGIONAL_TABLE_2023</x:v>
      </x:c>
    </x:row>
    <x:row r="17">
      <x:c r="A17" s="20" t="str">
        <x:v>030016</x:v>
      </x:c>
      <x:c r="B17" s="21" t="str">
        <x:v>Campoformido</x:v>
      </x:c>
      <x:c r="C17" s="21" t="str">
        <x:v>2023_Q4</x:v>
      </x:c>
      <x:c r="D17" s="24" t="n">
        <x:v>1467</x:v>
      </x:c>
      <x:c r="E17" s="24" t="n">
        <x:v>0</x:v>
      </x:c>
      <x:c r="F17" s="24" t="n">
        <x:v>0</x:v>
      </x:c>
      <x:c r="G17" s="24" t="n">
        <x:v>0</x:v>
      </x:c>
      <x:c r="H17" s="24" t="n">
        <x:f>SUM(D17:G17)</x:f>
        <x:v>1467</x:v>
      </x:c>
      <x:c r="I17" s="21" t="str">
        <x:v>OBSERVED_POSITIVE</x:v>
      </x:c>
      <x:c r="J17" s="21" t="str">
        <x:v>CAMPOFORMIDO</x:v>
      </x:c>
      <x:c r="K17" s="21" t="str">
        <x:v>DIRECT_NOMINAL</x:v>
      </x:c>
      <x:c r="L17" s="52" t="n">
        <x:v>67</x:v>
      </x:c>
      <x:c r="M17" s="21" t="str">
        <x:v>RAFVG_PDF_MUNICIPAL_TABLE</x:v>
      </x:c>
      <x:c r="N17" s="21" t="str">
        <x:v>https://www.consiglio.regione.fvg.it/cms/export/sites/consiglio/attivita/valutazione/Relazioni-informative/allegati/CV-LR-29-2005_V.pdf</x:v>
      </x:c>
      <x:c r="O17" s="21" t="str">
        <x:v>NOT_ZERO</x:v>
      </x:c>
      <x:c r="P17" s="21" t="str">
        <x:v>RAFVG_REGIONAL_TABLE_2023</x:v>
      </x:c>
    </x:row>
    <x:row r="18">
      <x:c r="A18" s="20" t="str">
        <x:v>030018</x:v>
      </x:c>
      <x:c r="B18" s="21" t="str">
        <x:v>Carlino</x:v>
      </x:c>
      <x:c r="C18" s="21" t="str">
        <x:v>2023_Q4</x:v>
      </x:c>
      <x:c r="D18" s="24" t="n">
        <x:v>1456</x:v>
      </x:c>
      <x:c r="E18" s="24" t="n">
        <x:v>0</x:v>
      </x:c>
      <x:c r="F18" s="24" t="n">
        <x:v>0</x:v>
      </x:c>
      <x:c r="G18" s="24" t="n">
        <x:v>0</x:v>
      </x:c>
      <x:c r="H18" s="24" t="n">
        <x:f>SUM(D18:G18)</x:f>
        <x:v>1456</x:v>
      </x:c>
      <x:c r="I18" s="21" t="str">
        <x:v>OBSERVED_POSITIVE</x:v>
      </x:c>
      <x:c r="J18" s="21" t="str">
        <x:v>CARLINO</x:v>
      </x:c>
      <x:c r="K18" s="21" t="str">
        <x:v>DIRECT_NOMINAL</x:v>
      </x:c>
      <x:c r="L18" s="52" t="n">
        <x:v>67</x:v>
      </x:c>
      <x:c r="M18" s="21" t="str">
        <x:v>RAFVG_PDF_MUNICIPAL_TABLE</x:v>
      </x:c>
      <x:c r="N18" s="21" t="str">
        <x:v>https://www.consiglio.regione.fvg.it/cms/export/sites/consiglio/attivita/valutazione/Relazioni-informative/allegati/CV-LR-29-2005_V.pdf</x:v>
      </x:c>
      <x:c r="O18" s="21" t="str">
        <x:v>NOT_ZERO</x:v>
      </x:c>
      <x:c r="P18" s="21" t="str">
        <x:v>RAFVG_REGIONAL_TABLE_2023</x:v>
      </x:c>
    </x:row>
    <x:row r="19">
      <x:c r="A19" s="20" t="str">
        <x:v>030019</x:v>
      </x:c>
      <x:c r="B19" s="21" t="str">
        <x:v>Cassacco</x:v>
      </x:c>
      <x:c r="C19" s="21" t="str">
        <x:v>2023_Q4</x:v>
      </x:c>
      <x:c r="D19" s="24" t="n">
        <x:v>1715</x:v>
      </x:c>
      <x:c r="E19" s="24" t="n">
        <x:v>3623</x:v>
      </x:c>
      <x:c r="F19" s="24" t="n">
        <x:v>20000</x:v>
      </x:c>
      <x:c r="G19" s="24" t="n">
        <x:v>3238</x:v>
      </x:c>
      <x:c r="H19" s="24" t="n">
        <x:f>SUM(D19:G19)</x:f>
        <x:v>28576</x:v>
      </x:c>
      <x:c r="I19" s="21" t="str">
        <x:v>OBSERVED_POSITIVE</x:v>
      </x:c>
      <x:c r="J19" s="21" t="str">
        <x:v>CASSACCO</x:v>
      </x:c>
      <x:c r="K19" s="21" t="str">
        <x:v>DIRECT_NOMINAL</x:v>
      </x:c>
      <x:c r="L19" s="52" t="n">
        <x:v>68</x:v>
      </x:c>
      <x:c r="M19" s="21" t="str">
        <x:v>RAFVG_PDF_MUNICIPAL_TABLE</x:v>
      </x:c>
      <x:c r="N19" s="21" t="str">
        <x:v>https://www.consiglio.regione.fvg.it/cms/export/sites/consiglio/attivita/valutazione/Relazioni-informative/allegati/CV-LR-29-2005_V.pdf</x:v>
      </x:c>
      <x:c r="O19" s="21" t="str">
        <x:v>NOT_ZERO</x:v>
      </x:c>
      <x:c r="P19" s="21" t="str">
        <x:v>RAFVG_REGIONAL_TABLE_2023</x:v>
      </x:c>
    </x:row>
    <x:row r="20">
      <x:c r="A20" s="20" t="str">
        <x:v>030020</x:v>
      </x:c>
      <x:c r="B20" s="21" t="str">
        <x:v>Castions di Strada</x:v>
      </x:c>
      <x:c r="C20" s="21" t="str">
        <x:v>2023_Q4</x:v>
      </x:c>
      <x:c r="D20" s="24" t="n">
        <x:v>0</x:v>
      </x:c>
      <x:c r="E20" s="24" t="n">
        <x:v>0</x:v>
      </x:c>
      <x:c r="F20" s="24" t="n">
        <x:v>7813</x:v>
      </x:c>
      <x:c r="G20" s="24" t="n">
        <x:v>0</x:v>
      </x:c>
      <x:c r="H20" s="24" t="n">
        <x:f>SUM(D20:G20)</x:f>
        <x:v>7813</x:v>
      </x:c>
      <x:c r="I20" s="21" t="str">
        <x:v>OBSERVED_POSITIVE</x:v>
      </x:c>
      <x:c r="J20" s="21" t="str">
        <x:v>CASTIONS DI STRADA</x:v>
      </x:c>
      <x:c r="K20" s="21" t="str">
        <x:v>DIRECT_NOMINAL</x:v>
      </x:c>
      <x:c r="L20" s="52" t="n">
        <x:v>68</x:v>
      </x:c>
      <x:c r="M20" s="21" t="str">
        <x:v>RAFVG_PDF_MUNICIPAL_TABLE</x:v>
      </x:c>
      <x:c r="N20" s="21" t="str">
        <x:v>https://www.consiglio.regione.fvg.it/cms/export/sites/consiglio/attivita/valutazione/Relazioni-informative/allegati/CV-LR-29-2005_V.pdf</x:v>
      </x:c>
      <x:c r="O20" s="21" t="str">
        <x:v>NOT_ZERO</x:v>
      </x:c>
      <x:c r="P20" s="21" t="str">
        <x:v>RAFVG_REGIONAL_TABLE_2023</x:v>
      </x:c>
    </x:row>
    <x:row r="21">
      <x:c r="A21" s="20" t="str">
        <x:v>030021</x:v>
      </x:c>
      <x:c r="B21" s="21" t="str">
        <x:v>Cavazzo Carnico</x:v>
      </x:c>
      <x:c r="C21" s="21" t="str">
        <x:v>2023_Q4</x:v>
      </x:c>
      <x:c r="D21" s="24" t="n">
        <x:v>0</x:v>
      </x:c>
      <x:c r="E21" s="24" t="n">
        <x:v>0</x:v>
      </x:c>
      <x:c r="F21" s="24" t="n">
        <x:v>0</x:v>
      </x:c>
      <x:c r="G21" s="24" t="n">
        <x:v>0</x:v>
      </x:c>
      <x:c r="H21" s="24" t="n">
        <x:f>SUM(D21:G21)</x:f>
        <x:v>0</x:v>
      </x:c>
      <x:c r="I21" s="21" t="str">
        <x:v>ZERO_REAL_SOURCE_TABLE</x:v>
      </x:c>
      <x:c r="J21" s="21" t="str">
        <x:v>CAVAZZO CARNICO</x:v>
      </x:c>
      <x:c r="K21" s="21" t="str">
        <x:v>DIRECT_NOMINAL</x:v>
      </x:c>
      <x:c r="L21" s="52" t="n">
        <x:v>68</x:v>
      </x:c>
      <x:c r="M21" s="21" t="str">
        <x:v>RAFVG_PDF_MUNICIPAL_TABLE</x:v>
      </x:c>
      <x:c r="N21" s="21" t="str">
        <x:v>https://www.consiglio.regione.fvg.it/cms/export/sites/consiglio/attivita/valutazione/Relazioni-informative/allegati/CV-LR-29-2005_V.pdf</x:v>
      </x:c>
      <x:c r="O21" s="21" t="str">
        <x:v>REGIONAL_TABLE</x:v>
      </x:c>
      <x:c r="P21" s="21" t="str">
        <x:v>RAFVG_REGIONAL_TABLE_2023</x:v>
      </x:c>
    </x:row>
    <x:row r="22">
      <x:c r="A22" s="20" t="str">
        <x:v>030022</x:v>
      </x:c>
      <x:c r="B22" s="21" t="str">
        <x:v>Cercivento</x:v>
      </x:c>
      <x:c r="C22" s="21" t="str">
        <x:v>2023_Q4</x:v>
      </x:c>
      <x:c r="D22" s="24" t="n">
        <x:v>803</x:v>
      </x:c>
      <x:c r="E22" s="24" t="n">
        <x:v>0</x:v>
      </x:c>
      <x:c r="F22" s="24" t="n">
        <x:v>0</x:v>
      </x:c>
      <x:c r="G22" s="24" t="n">
        <x:v>0</x:v>
      </x:c>
      <x:c r="H22" s="24" t="n">
        <x:f>SUM(D22:G22)</x:f>
        <x:v>803</x:v>
      </x:c>
      <x:c r="I22" s="21" t="str">
        <x:v>OBSERVED_POSITIVE</x:v>
      </x:c>
      <x:c r="J22" s="21" t="str">
        <x:v>CERCIVENTO</x:v>
      </x:c>
      <x:c r="K22" s="21" t="str">
        <x:v>DIRECT_NOMINAL</x:v>
      </x:c>
      <x:c r="L22" s="52" t="n">
        <x:v>69</x:v>
      </x:c>
      <x:c r="M22" s="21" t="str">
        <x:v>RAFVG_PDF_MUNICIPAL_TABLE</x:v>
      </x:c>
      <x:c r="N22" s="21" t="str">
        <x:v>https://www.consiglio.regione.fvg.it/cms/export/sites/consiglio/attivita/valutazione/Relazioni-informative/allegati/CV-LR-29-2005_V.pdf</x:v>
      </x:c>
      <x:c r="O22" s="21" t="str">
        <x:v>NOT_ZERO</x:v>
      </x:c>
      <x:c r="P22" s="21" t="str">
        <x:v>RAFVG_REGIONAL_TABLE_2023</x:v>
      </x:c>
    </x:row>
    <x:row r="23">
      <x:c r="A23" s="20" t="str">
        <x:v>030023</x:v>
      </x:c>
      <x:c r="B23" s="21" t="str">
        <x:v>Cervignano del Friuli</x:v>
      </x:c>
      <x:c r="C23" s="21" t="str">
        <x:v>2023_Q4</x:v>
      </x:c>
      <x:c r="D23" s="24" t="n">
        <x:v>12099.05</x:v>
      </x:c>
      <x:c r="E23" s="24" t="n">
        <x:v>0</x:v>
      </x:c>
      <x:c r="F23" s="24" t="n">
        <x:v>0</x:v>
      </x:c>
      <x:c r="G23" s="24" t="n">
        <x:v>19275</x:v>
      </x:c>
      <x:c r="H23" s="24" t="n">
        <x:f>SUM(D23:G23)</x:f>
        <x:v>31374.05</x:v>
      </x:c>
      <x:c r="I23" s="21" t="str">
        <x:v>OBSERVED_POSITIVE</x:v>
      </x:c>
      <x:c r="J23" s="21" t="str">
        <x:v>CERVIGNANO DEL FRIULI</x:v>
      </x:c>
      <x:c r="K23" s="21" t="str">
        <x:v>DIRECT_NOMINAL</x:v>
      </x:c>
      <x:c r="L23" s="52" t="n">
        <x:v>69</x:v>
      </x:c>
      <x:c r="M23" s="21" t="str">
        <x:v>RAFVG_PDF_MUNICIPAL_TABLE</x:v>
      </x:c>
      <x:c r="N23" s="21" t="str">
        <x:v>https://www.consiglio.regione.fvg.it/cms/export/sites/consiglio/attivita/valutazione/Relazioni-informative/allegati/CV-LR-29-2005_V.pdf</x:v>
      </x:c>
      <x:c r="O23" s="21" t="str">
        <x:v>NOT_ZERO</x:v>
      </x:c>
      <x:c r="P23" s="21" t="str">
        <x:v>RAFVG_REGIONAL_TABLE_2023</x:v>
      </x:c>
    </x:row>
    <x:row r="24">
      <x:c r="A24" s="20" t="str">
        <x:v>030024</x:v>
      </x:c>
      <x:c r="B24" s="21" t="str">
        <x:v>Chiopris-Viscone</x:v>
      </x:c>
      <x:c r="C24" s="21" t="str">
        <x:v>2023_Q4</x:v>
      </x:c>
      <x:c r="D24" s="24" t="n">
        <x:v>0</x:v>
      </x:c>
      <x:c r="E24" s="24" t="n">
        <x:v>3910</x:v>
      </x:c>
      <x:c r="F24" s="24" t="n">
        <x:v>0</x:v>
      </x:c>
      <x:c r="G24" s="24" t="n">
        <x:v>0</x:v>
      </x:c>
      <x:c r="H24" s="24" t="n">
        <x:f>SUM(D24:G24)</x:f>
        <x:v>3910</x:v>
      </x:c>
      <x:c r="I24" s="21" t="str">
        <x:v>OBSERVED_POSITIVE</x:v>
      </x:c>
      <x:c r="J24" s="21" t="str">
        <x:v>CHIOPRIS-VISCONE</x:v>
      </x:c>
      <x:c r="K24" s="21" t="str">
        <x:v>DIRECT_NOMINAL</x:v>
      </x:c>
      <x:c r="L24" s="52" t="n">
        <x:v>69</x:v>
      </x:c>
      <x:c r="M24" s="21" t="str">
        <x:v>RAFVG_PDF_MUNICIPAL_TABLE</x:v>
      </x:c>
      <x:c r="N24" s="21" t="str">
        <x:v>https://www.consiglio.regione.fvg.it/cms/export/sites/consiglio/attivita/valutazione/Relazioni-informative/allegati/CV-LR-29-2005_V.pdf</x:v>
      </x:c>
      <x:c r="O24" s="21" t="str">
        <x:v>NOT_ZERO</x:v>
      </x:c>
      <x:c r="P24" s="21" t="str">
        <x:v>RAFVG_REGIONAL_TABLE_2023</x:v>
      </x:c>
    </x:row>
    <x:row r="25">
      <x:c r="A25" s="20" t="str">
        <x:v>030025</x:v>
      </x:c>
      <x:c r="B25" s="21" t="str">
        <x:v>Chiusaforte</x:v>
      </x:c>
      <x:c r="C25" s="21" t="str">
        <x:v>2023_Q4</x:v>
      </x:c>
      <x:c r="D25" s="24" t="n">
        <x:v>0</x:v>
      </x:c>
      <x:c r="E25" s="24" t="n">
        <x:v>0</x:v>
      </x:c>
      <x:c r="F25" s="24" t="n">
        <x:v>0</x:v>
      </x:c>
      <x:c r="G25" s="24" t="n">
        <x:v>0</x:v>
      </x:c>
      <x:c r="H25" s="24" t="n">
        <x:f>SUM(D25:G25)</x:f>
        <x:v>0</x:v>
      </x:c>
      <x:c r="I25" s="21" t="str">
        <x:v>ZERO_REAL_SOURCE_TABLE</x:v>
      </x:c>
      <x:c r="J25" s="21" t="str">
        <x:v>CHIUSAFORTE</x:v>
      </x:c>
      <x:c r="K25" s="21" t="str">
        <x:v>DIRECT_NOMINAL</x:v>
      </x:c>
      <x:c r="L25" s="52" t="n">
        <x:v>69</x:v>
      </x:c>
      <x:c r="M25" s="21" t="str">
        <x:v>RAFVG_PDF_MUNICIPAL_TABLE</x:v>
      </x:c>
      <x:c r="N25" s="21" t="str">
        <x:v>https://www.consiglio.regione.fvg.it/cms/export/sites/consiglio/attivita/valutazione/Relazioni-informative/allegati/CV-LR-29-2005_V.pdf</x:v>
      </x:c>
      <x:c r="O25" s="21" t="str">
        <x:v>REGIONAL_TABLE</x:v>
      </x:c>
      <x:c r="P25" s="21" t="str">
        <x:v>RAFVG_REGIONAL_TABLE_2023</x:v>
      </x:c>
    </x:row>
    <x:row r="26">
      <x:c r="A26" s="20" t="str">
        <x:v>030026</x:v>
      </x:c>
      <x:c r="B26" s="21" t="str">
        <x:v>Cividale del Friuli</x:v>
      </x:c>
      <x:c r="C26" s="21" t="str">
        <x:v>2023_Q4</x:v>
      </x:c>
      <x:c r="D26" s="24" t="n">
        <x:v>5497.12</x:v>
      </x:c>
      <x:c r="E26" s="24" t="n">
        <x:v>4121</x:v>
      </x:c>
      <x:c r="F26" s="24" t="n">
        <x:v>0</x:v>
      </x:c>
      <x:c r="G26" s="24" t="n">
        <x:v>0</x:v>
      </x:c>
      <x:c r="H26" s="24" t="n">
        <x:f>SUM(D26:G26)</x:f>
        <x:v>9618.119999999999</x:v>
      </x:c>
      <x:c r="I26" s="21" t="str">
        <x:v>OBSERVED_POSITIVE</x:v>
      </x:c>
      <x:c r="J26" s="21" t="str">
        <x:v>CIVIDALE DEL FRIULI</x:v>
      </x:c>
      <x:c r="K26" s="21" t="str">
        <x:v>DIRECT_NOMINAL</x:v>
      </x:c>
      <x:c r="L26" s="52" t="n">
        <x:v>69</x:v>
      </x:c>
      <x:c r="M26" s="21" t="str">
        <x:v>RAFVG_PDF_MUNICIPAL_TABLE</x:v>
      </x:c>
      <x:c r="N26" s="21" t="str">
        <x:v>https://www.consiglio.regione.fvg.it/cms/export/sites/consiglio/attivita/valutazione/Relazioni-informative/allegati/CV-LR-29-2005_V.pdf</x:v>
      </x:c>
      <x:c r="O26" s="21" t="str">
        <x:v>NOT_ZERO</x:v>
      </x:c>
      <x:c r="P26" s="21" t="str">
        <x:v>RAFVG_REGIONAL_TABLE_2023</x:v>
      </x:c>
    </x:row>
    <x:row r="27">
      <x:c r="A27" s="20" t="str">
        <x:v>030027</x:v>
      </x:c>
      <x:c r="B27" s="21" t="str">
        <x:v>Codroipo</x:v>
      </x:c>
      <x:c r="C27" s="21" t="str">
        <x:v>2023_Q4</x:v>
      </x:c>
      <x:c r="D27" s="24" t="n">
        <x:v>10373.44</x:v>
      </x:c>
      <x:c r="E27" s="24" t="n">
        <x:v>10434</x:v>
      </x:c>
      <x:c r="F27" s="24" t="n">
        <x:v>0</x:v>
      </x:c>
      <x:c r="G27" s="24" t="n">
        <x:v>2499.15</x:v>
      </x:c>
      <x:c r="H27" s="24" t="n">
        <x:f>SUM(D27:G27)</x:f>
        <x:v>23306.590000000004</x:v>
      </x:c>
      <x:c r="I27" s="21" t="str">
        <x:v>OBSERVED_POSITIVE</x:v>
      </x:c>
      <x:c r="J27" s="21" t="str">
        <x:v>CODROIPO</x:v>
      </x:c>
      <x:c r="K27" s="21" t="str">
        <x:v>DIRECT_NOMINAL</x:v>
      </x:c>
      <x:c r="L27" s="52" t="n">
        <x:v>70</x:v>
      </x:c>
      <x:c r="M27" s="21" t="str">
        <x:v>RAFVG_PDF_MUNICIPAL_TABLE</x:v>
      </x:c>
      <x:c r="N27" s="21" t="str">
        <x:v>https://www.consiglio.regione.fvg.it/cms/export/sites/consiglio/attivita/valutazione/Relazioni-informative/allegati/CV-LR-29-2005_V.pdf</x:v>
      </x:c>
      <x:c r="O27" s="21" t="str">
        <x:v>NOT_ZERO</x:v>
      </x:c>
      <x:c r="P27" s="21" t="str">
        <x:v>RAFVG_REGIONAL_TABLE_2023</x:v>
      </x:c>
    </x:row>
    <x:row r="28">
      <x:c r="A28" s="20" t="str">
        <x:v>030028</x:v>
      </x:c>
      <x:c r="B28" s="21" t="str">
        <x:v>Colloredo di Monte Albano</x:v>
      </x:c>
      <x:c r="C28" s="21" t="str">
        <x:v>2023_Q4</x:v>
      </x:c>
      <x:c r="D28" s="24" t="n">
        <x:v>0</x:v>
      </x:c>
      <x:c r="E28" s="24" t="n">
        <x:v>0</x:v>
      </x:c>
      <x:c r="F28" s="24" t="n">
        <x:v>0</x:v>
      </x:c>
      <x:c r="G28" s="24" t="n">
        <x:v>0</x:v>
      </x:c>
      <x:c r="H28" s="24" t="n">
        <x:f>SUM(D28:G28)</x:f>
        <x:v>0</x:v>
      </x:c>
      <x:c r="I28" s="21" t="str">
        <x:v>ZERO_REAL_SOURCE_TABLE</x:v>
      </x:c>
      <x:c r="J28" s="21" t="str">
        <x:v>COLLOREDO DI MONTALBANO</x:v>
      </x:c>
      <x:c r="K28" s="21" t="str">
        <x:v>ALIAS_DETERMINISTIC</x:v>
      </x:c>
      <x:c r="L28" s="52" t="n">
        <x:v>70</x:v>
      </x:c>
      <x:c r="M28" s="21" t="str">
        <x:v>RAFVG_PDF_MUNICIPAL_TABLE</x:v>
      </x:c>
      <x:c r="N28" s="21" t="str">
        <x:v>https://www.consiglio.regione.fvg.it/cms/export/sites/consiglio/attivita/valutazione/Relazioni-informative/allegati/CV-LR-29-2005_V.pdf</x:v>
      </x:c>
      <x:c r="O28" s="21" t="str">
        <x:v>REGIONAL_TABLE</x:v>
      </x:c>
      <x:c r="P28" s="21" t="str">
        <x:v>RAFVG_REGIONAL_TABLE_2023</x:v>
      </x:c>
    </x:row>
    <x:row r="29">
      <x:c r="A29" s="20" t="str">
        <x:v>030029</x:v>
      </x:c>
      <x:c r="B29" s="21" t="str">
        <x:v>Comeglians</x:v>
      </x:c>
      <x:c r="C29" s="21" t="str">
        <x:v>2023_Q4</x:v>
      </x:c>
      <x:c r="D29" s="24" t="n">
        <x:v>0</x:v>
      </x:c>
      <x:c r="E29" s="24" t="n">
        <x:v>0</x:v>
      </x:c>
      <x:c r="F29" s="24" t="n">
        <x:v>0</x:v>
      </x:c>
      <x:c r="G29" s="24" t="n">
        <x:v>0</x:v>
      </x:c>
      <x:c r="H29" s="24" t="n">
        <x:f>SUM(D29:G29)</x:f>
        <x:v>0</x:v>
      </x:c>
      <x:c r="I29" s="21" t="str">
        <x:v>ZERO_REAL_SOURCE_TABLE</x:v>
      </x:c>
      <x:c r="J29" s="21" t="str">
        <x:v>COMEGLIANS</x:v>
      </x:c>
      <x:c r="K29" s="21" t="str">
        <x:v>DIRECT_NOMINAL</x:v>
      </x:c>
      <x:c r="L29" s="52" t="n">
        <x:v>70</x:v>
      </x:c>
      <x:c r="M29" s="21" t="str">
        <x:v>RAFVG_PDF_MUNICIPAL_TABLE</x:v>
      </x:c>
      <x:c r="N29" s="21" t="str">
        <x:v>https://www.consiglio.regione.fvg.it/cms/export/sites/consiglio/attivita/valutazione/Relazioni-informative/allegati/CV-LR-29-2005_V.pdf</x:v>
      </x:c>
      <x:c r="O29" s="21" t="str">
        <x:v>REGIONAL_TABLE</x:v>
      </x:c>
      <x:c r="P29" s="21" t="str">
        <x:v>RAFVG_REGIONAL_TABLE_2023</x:v>
      </x:c>
    </x:row>
    <x:row r="30">
      <x:c r="A30" s="20" t="str">
        <x:v>030030</x:v>
      </x:c>
      <x:c r="B30" s="21" t="str">
        <x:v>Corno di Rosazzo</x:v>
      </x:c>
      <x:c r="C30" s="21" t="str">
        <x:v>2023_Q4</x:v>
      </x:c>
      <x:c r="D30" s="24" t="n">
        <x:v>993.5</x:v>
      </x:c>
      <x:c r="E30" s="24" t="n">
        <x:v>0</x:v>
      </x:c>
      <x:c r="F30" s="24" t="n">
        <x:v>0</x:v>
      </x:c>
      <x:c r="G30" s="24" t="n">
        <x:v>0</x:v>
      </x:c>
      <x:c r="H30" s="24" t="n">
        <x:f>SUM(D30:G30)</x:f>
        <x:v>993.5</x:v>
      </x:c>
      <x:c r="I30" s="21" t="str">
        <x:v>OBSERVED_POSITIVE</x:v>
      </x:c>
      <x:c r="J30" s="21" t="str">
        <x:v>CORNO DI ROSAZZO</x:v>
      </x:c>
      <x:c r="K30" s="21" t="str">
        <x:v>DIRECT_NOMINAL</x:v>
      </x:c>
      <x:c r="L30" s="52" t="n">
        <x:v>71</x:v>
      </x:c>
      <x:c r="M30" s="21" t="str">
        <x:v>RAFVG_PDF_MUNICIPAL_TABLE</x:v>
      </x:c>
      <x:c r="N30" s="21" t="str">
        <x:v>https://www.consiglio.regione.fvg.it/cms/export/sites/consiglio/attivita/valutazione/Relazioni-informative/allegati/CV-LR-29-2005_V.pdf</x:v>
      </x:c>
      <x:c r="O30" s="21" t="str">
        <x:v>NOT_ZERO</x:v>
      </x:c>
      <x:c r="P30" s="21" t="str">
        <x:v>RAFVG_REGIONAL_TABLE_2023</x:v>
      </x:c>
    </x:row>
    <x:row r="31">
      <x:c r="A31" s="20" t="str">
        <x:v>030031</x:v>
      </x:c>
      <x:c r="B31" s="21" t="str">
        <x:v>Coseano</x:v>
      </x:c>
      <x:c r="C31" s="21" t="str">
        <x:v>2023_Q4</x:v>
      </x:c>
      <x:c r="D31" s="24" t="n">
        <x:v>1310</x:v>
      </x:c>
      <x:c r="E31" s="24" t="n">
        <x:v>0</x:v>
      </x:c>
      <x:c r="F31" s="24" t="n">
        <x:v>0</x:v>
      </x:c>
      <x:c r="G31" s="24" t="n">
        <x:v>0</x:v>
      </x:c>
      <x:c r="H31" s="24" t="n">
        <x:f>SUM(D31:G31)</x:f>
        <x:v>1310</x:v>
      </x:c>
      <x:c r="I31" s="21" t="str">
        <x:v>OBSERVED_POSITIVE</x:v>
      </x:c>
      <x:c r="J31" s="21" t="str">
        <x:v>COSEANO</x:v>
      </x:c>
      <x:c r="K31" s="21" t="str">
        <x:v>DIRECT_NOMINAL</x:v>
      </x:c>
      <x:c r="L31" s="52" t="n">
        <x:v>71</x:v>
      </x:c>
      <x:c r="M31" s="21" t="str">
        <x:v>RAFVG_PDF_MUNICIPAL_TABLE</x:v>
      </x:c>
      <x:c r="N31" s="21" t="str">
        <x:v>https://www.consiglio.regione.fvg.it/cms/export/sites/consiglio/attivita/valutazione/Relazioni-informative/allegati/CV-LR-29-2005_V.pdf</x:v>
      </x:c>
      <x:c r="O31" s="21" t="str">
        <x:v>NOT_ZERO</x:v>
      </x:c>
      <x:c r="P31" s="21" t="str">
        <x:v>RAFVG_REGIONAL_TABLE_2023</x:v>
      </x:c>
    </x:row>
    <x:row r="32">
      <x:c r="A32" s="20" t="str">
        <x:v>030032</x:v>
      </x:c>
      <x:c r="B32" s="21" t="str">
        <x:v>Dignano</x:v>
      </x:c>
      <x:c r="C32" s="21" t="str">
        <x:v>2023_Q4</x:v>
      </x:c>
      <x:c r="D32" s="24" t="n">
        <x:v>0</x:v>
      </x:c>
      <x:c r="E32" s="24" t="n">
        <x:v>0</x:v>
      </x:c>
      <x:c r="F32" s="24" t="n">
        <x:v>0</x:v>
      </x:c>
      <x:c r="G32" s="24" t="n">
        <x:v>1900</x:v>
      </x:c>
      <x:c r="H32" s="24" t="n">
        <x:f>SUM(D32:G32)</x:f>
        <x:v>1900</x:v>
      </x:c>
      <x:c r="I32" s="21" t="str">
        <x:v>OBSERVED_POSITIVE</x:v>
      </x:c>
      <x:c r="J32" s="21" t="str">
        <x:v>DIGNANO</x:v>
      </x:c>
      <x:c r="K32" s="21" t="str">
        <x:v>DIRECT_NOMINAL</x:v>
      </x:c>
      <x:c r="L32" s="52" t="n">
        <x:v>71</x:v>
      </x:c>
      <x:c r="M32" s="21" t="str">
        <x:v>RAFVG_PDF_MUNICIPAL_TABLE</x:v>
      </x:c>
      <x:c r="N32" s="21" t="str">
        <x:v>https://www.consiglio.regione.fvg.it/cms/export/sites/consiglio/attivita/valutazione/Relazioni-informative/allegati/CV-LR-29-2005_V.pdf</x:v>
      </x:c>
      <x:c r="O32" s="21" t="str">
        <x:v>NOT_ZERO</x:v>
      </x:c>
      <x:c r="P32" s="21" t="str">
        <x:v>RAFVG_REGIONAL_TABLE_2023</x:v>
      </x:c>
    </x:row>
    <x:row r="33">
      <x:c r="A33" s="20" t="str">
        <x:v>030033</x:v>
      </x:c>
      <x:c r="B33" s="21" t="str">
        <x:v>Dogna</x:v>
      </x:c>
      <x:c r="C33" s="21" t="str">
        <x:v>2023_Q4</x:v>
      </x:c>
      <x:c r="D33" s="24" t="n">
        <x:v>0</x:v>
      </x:c>
      <x:c r="E33" s="24" t="n">
        <x:v>0</x:v>
      </x:c>
      <x:c r="F33" s="24" t="n">
        <x:v>0</x:v>
      </x:c>
      <x:c r="G33" s="24" t="n">
        <x:v>0</x:v>
      </x:c>
      <x:c r="H33" s="24" t="n">
        <x:f>SUM(D33:G33)</x:f>
        <x:v>0</x:v>
      </x:c>
      <x:c r="I33" s="21" t="str">
        <x:v>ZERO_REAL_SOURCE_TABLE</x:v>
      </x:c>
      <x:c r="J33" s="21" t="str">
        <x:v>DOGNA</x:v>
      </x:c>
      <x:c r="K33" s="21" t="str">
        <x:v>DIRECT_NOMINAL</x:v>
      </x:c>
      <x:c r="L33" s="52" t="n">
        <x:v>71</x:v>
      </x:c>
      <x:c r="M33" s="21" t="str">
        <x:v>RAFVG_PDF_MUNICIPAL_TABLE</x:v>
      </x:c>
      <x:c r="N33" s="21" t="str">
        <x:v>https://www.consiglio.regione.fvg.it/cms/export/sites/consiglio/attivita/valutazione/Relazioni-informative/allegati/CV-LR-29-2005_V.pdf</x:v>
      </x:c>
      <x:c r="O33" s="21" t="str">
        <x:v>REGIONAL_TABLE</x:v>
      </x:c>
      <x:c r="P33" s="21" t="str">
        <x:v>RAFVG_REGIONAL_TABLE_2023</x:v>
      </x:c>
    </x:row>
    <x:row r="34">
      <x:c r="A34" s="20" t="str">
        <x:v>030034</x:v>
      </x:c>
      <x:c r="B34" s="21" t="str">
        <x:v>Drenchia</x:v>
      </x:c>
      <x:c r="C34" s="21" t="str">
        <x:v>2023</x:v>
      </x:c>
      <x:c r="D34" s="24" t="n">
        <x:v>0</x:v>
      </x:c>
      <x:c r="E34" s="24" t="n">
        <x:v>0</x:v>
      </x:c>
      <x:c r="F34" s="24" t="n">
        <x:v>0</x:v>
      </x:c>
      <x:c r="G34" s="24" t="n">
        <x:v>0</x:v>
      </x:c>
      <x:c r="H34" s="24" t="n">
        <x:f>SUM(D34:G34)</x:f>
        <x:v>0</x:v>
      </x:c>
      <x:c r="I34" s="21" t="str">
        <x:v>ZERO_REAL_EXTERNAL_2023</x:v>
      </x:c>
      <x:c r="J34" s="21" t="str"/>
      <x:c r="K34" s="21" t="str">
        <x:v>EXTERNAL_ZERO_RESOLUTION</x:v>
      </x:c>
      <x:c r="L34" s="52"/>
      <x:c r="M34" s="21" t="str">
        <x:v>Torre Natisone GAL SSL 2023-2027: nel 2023 nessun esercizio di vendita a Drenchia</x:v>
      </x:c>
      <x:c r="N34" s="21" t="str">
        <x:v>https://torrenatisonegal.com/wp-content/uploads/2024/08/ssl-2023-2027-torre-natisone-gal.pdf</x:v>
      </x:c>
      <x:c r="O34" s="21" t="str">
        <x:v>EXTERNAL_EVIDENCE</x:v>
      </x:c>
      <x:c r="P34" s="21" t="str">
        <x:v>EXTERNAL_EVIDENCE_2023</x:v>
      </x:c>
    </x:row>
    <x:row r="35">
      <x:c r="A35" s="20" t="str">
        <x:v>030035</x:v>
      </x:c>
      <x:c r="B35" s="21" t="str">
        <x:v>Enemonzo</x:v>
      </x:c>
      <x:c r="C35" s="21" t="str">
        <x:v>2023_Q4</x:v>
      </x:c>
      <x:c r="D35" s="24" t="n">
        <x:v>0</x:v>
      </x:c>
      <x:c r="E35" s="24" t="n">
        <x:v>0</x:v>
      </x:c>
      <x:c r="F35" s="24" t="n">
        <x:v>0</x:v>
      </x:c>
      <x:c r="G35" s="24" t="n">
        <x:v>0</x:v>
      </x:c>
      <x:c r="H35" s="24" t="n">
        <x:f>SUM(D35:G35)</x:f>
        <x:v>0</x:v>
      </x:c>
      <x:c r="I35" s="21" t="str">
        <x:v>ZERO_REAL_SOURCE_TABLE</x:v>
      </x:c>
      <x:c r="J35" s="21" t="str">
        <x:v>ENEMONZO</x:v>
      </x:c>
      <x:c r="K35" s="21" t="str">
        <x:v>DIRECT_NOMINAL</x:v>
      </x:c>
      <x:c r="L35" s="52" t="n">
        <x:v>71</x:v>
      </x:c>
      <x:c r="M35" s="21" t="str">
        <x:v>RAFVG_PDF_MUNICIPAL_TABLE</x:v>
      </x:c>
      <x:c r="N35" s="21" t="str">
        <x:v>https://www.consiglio.regione.fvg.it/cms/export/sites/consiglio/attivita/valutazione/Relazioni-informative/allegati/CV-LR-29-2005_V.pdf</x:v>
      </x:c>
      <x:c r="O35" s="21" t="str">
        <x:v>REGIONAL_TABLE</x:v>
      </x:c>
      <x:c r="P35" s="21" t="str">
        <x:v>RAFVG_REGIONAL_TABLE_2023</x:v>
      </x:c>
    </x:row>
    <x:row r="36">
      <x:c r="A36" s="20" t="str">
        <x:v>030036</x:v>
      </x:c>
      <x:c r="B36" s="21" t="str">
        <x:v>Faedis</x:v>
      </x:c>
      <x:c r="C36" s="21" t="str">
        <x:v>2023_Q4</x:v>
      </x:c>
      <x:c r="D36" s="24" t="n">
        <x:v>1500</x:v>
      </x:c>
      <x:c r="E36" s="24" t="n">
        <x:v>0</x:v>
      </x:c>
      <x:c r="F36" s="24" t="n">
        <x:v>0</x:v>
      </x:c>
      <x:c r="G36" s="24" t="n">
        <x:v>0</x:v>
      </x:c>
      <x:c r="H36" s="24" t="n">
        <x:f>SUM(D36:G36)</x:f>
        <x:v>1500</x:v>
      </x:c>
      <x:c r="I36" s="21" t="str">
        <x:v>OBSERVED_POSITIVE</x:v>
      </x:c>
      <x:c r="J36" s="21" t="str">
        <x:v>FAEDIS</x:v>
      </x:c>
      <x:c r="K36" s="21" t="str">
        <x:v>DIRECT_NOMINAL</x:v>
      </x:c>
      <x:c r="L36" s="52" t="n">
        <x:v>72</x:v>
      </x:c>
      <x:c r="M36" s="21" t="str">
        <x:v>RAFVG_PDF_MUNICIPAL_TABLE</x:v>
      </x:c>
      <x:c r="N36" s="21" t="str">
        <x:v>https://www.consiglio.regione.fvg.it/cms/export/sites/consiglio/attivita/valutazione/Relazioni-informative/allegati/CV-LR-29-2005_V.pdf</x:v>
      </x:c>
      <x:c r="O36" s="21" t="str">
        <x:v>NOT_ZERO</x:v>
      </x:c>
      <x:c r="P36" s="21" t="str">
        <x:v>RAFVG_REGIONAL_TABLE_2023</x:v>
      </x:c>
    </x:row>
    <x:row r="37">
      <x:c r="A37" s="20" t="str">
        <x:v>030037</x:v>
      </x:c>
      <x:c r="B37" s="21" t="str">
        <x:v>Fagagna</x:v>
      </x:c>
      <x:c r="C37" s="21" t="str">
        <x:v>2023_Q4</x:v>
      </x:c>
      <x:c r="D37" s="24" t="n">
        <x:v>4811</x:v>
      </x:c>
      <x:c r="E37" s="24" t="n">
        <x:v>0</x:v>
      </x:c>
      <x:c r="F37" s="24" t="n">
        <x:v>0</x:v>
      </x:c>
      <x:c r="G37" s="24" t="n">
        <x:v>0</x:v>
      </x:c>
      <x:c r="H37" s="24" t="n">
        <x:f>SUM(D37:G37)</x:f>
        <x:v>4811</x:v>
      </x:c>
      <x:c r="I37" s="21" t="str">
        <x:v>OBSERVED_POSITIVE</x:v>
      </x:c>
      <x:c r="J37" s="21" t="str">
        <x:v>FAGAGNA</x:v>
      </x:c>
      <x:c r="K37" s="21" t="str">
        <x:v>DIRECT_NOMINAL</x:v>
      </x:c>
      <x:c r="L37" s="52" t="n">
        <x:v>72</x:v>
      </x:c>
      <x:c r="M37" s="21" t="str">
        <x:v>RAFVG_PDF_MUNICIPAL_TABLE</x:v>
      </x:c>
      <x:c r="N37" s="21" t="str">
        <x:v>https://www.consiglio.regione.fvg.it/cms/export/sites/consiglio/attivita/valutazione/Relazioni-informative/allegati/CV-LR-29-2005_V.pdf</x:v>
      </x:c>
      <x:c r="O37" s="21" t="str">
        <x:v>NOT_ZERO</x:v>
      </x:c>
      <x:c r="P37" s="21" t="str">
        <x:v>RAFVG_REGIONAL_TABLE_2023</x:v>
      </x:c>
    </x:row>
    <x:row r="38">
      <x:c r="A38" s="20" t="str">
        <x:v>030039</x:v>
      </x:c>
      <x:c r="B38" s="21" t="str">
        <x:v>Flaibano</x:v>
      </x:c>
      <x:c r="C38" s="21" t="str">
        <x:v>2023_Q4</x:v>
      </x:c>
      <x:c r="D38" s="24" t="n">
        <x:v>0</x:v>
      </x:c>
      <x:c r="E38" s="24" t="n">
        <x:v>0</x:v>
      </x:c>
      <x:c r="F38" s="24" t="n">
        <x:v>0</x:v>
      </x:c>
      <x:c r="G38" s="24" t="n">
        <x:v>0</x:v>
      </x:c>
      <x:c r="H38" s="24" t="n">
        <x:f>SUM(D38:G38)</x:f>
        <x:v>0</x:v>
      </x:c>
      <x:c r="I38" s="21" t="str">
        <x:v>ZERO_REAL_SOURCE_TABLE</x:v>
      </x:c>
      <x:c r="J38" s="21" t="str">
        <x:v>FLAIBANO</x:v>
      </x:c>
      <x:c r="K38" s="21" t="str">
        <x:v>DIRECT_NOMINAL</x:v>
      </x:c>
      <x:c r="L38" s="52" t="n">
        <x:v>72</x:v>
      </x:c>
      <x:c r="M38" s="21" t="str">
        <x:v>RAFVG_PDF_MUNICIPAL_TABLE</x:v>
      </x:c>
      <x:c r="N38" s="21" t="str">
        <x:v>https://www.consiglio.regione.fvg.it/cms/export/sites/consiglio/attivita/valutazione/Relazioni-informative/allegati/CV-LR-29-2005_V.pdf</x:v>
      </x:c>
      <x:c r="O38" s="21" t="str">
        <x:v>REGIONAL_TABLE</x:v>
      </x:c>
      <x:c r="P38" s="21" t="str">
        <x:v>RAFVG_REGIONAL_TABLE_2023</x:v>
      </x:c>
    </x:row>
    <x:row r="39">
      <x:c r="A39" s="20" t="str">
        <x:v>030040</x:v>
      </x:c>
      <x:c r="B39" s="21" t="str">
        <x:v>Forni Avoltri</x:v>
      </x:c>
      <x:c r="C39" s="21" t="str">
        <x:v>2023_Q4</x:v>
      </x:c>
      <x:c r="D39" s="24" t="n">
        <x:v>0</x:v>
      </x:c>
      <x:c r="E39" s="24" t="n">
        <x:v>0</x:v>
      </x:c>
      <x:c r="F39" s="24" t="n">
        <x:v>0</x:v>
      </x:c>
      <x:c r="G39" s="24" t="n">
        <x:v>0</x:v>
      </x:c>
      <x:c r="H39" s="24" t="n">
        <x:f>SUM(D39:G39)</x:f>
        <x:v>0</x:v>
      </x:c>
      <x:c r="I39" s="21" t="str">
        <x:v>ZERO_REAL_SOURCE_TABLE</x:v>
      </x:c>
      <x:c r="J39" s="21" t="str">
        <x:v>FORNI AVOLTRI</x:v>
      </x:c>
      <x:c r="K39" s="21" t="str">
        <x:v>DIRECT_NOMINAL</x:v>
      </x:c>
      <x:c r="L39" s="52" t="n">
        <x:v>73</x:v>
      </x:c>
      <x:c r="M39" s="21" t="str">
        <x:v>RAFVG_PDF_MUNICIPAL_TABLE</x:v>
      </x:c>
      <x:c r="N39" s="21" t="str">
        <x:v>https://www.consiglio.regione.fvg.it/cms/export/sites/consiglio/attivita/valutazione/Relazioni-informative/allegati/CV-LR-29-2005_V.pdf</x:v>
      </x:c>
      <x:c r="O39" s="21" t="str">
        <x:v>REGIONAL_TABLE</x:v>
      </x:c>
      <x:c r="P39" s="21" t="str">
        <x:v>RAFVG_REGIONAL_TABLE_2023</x:v>
      </x:c>
    </x:row>
    <x:row r="40">
      <x:c r="A40" s="20" t="str">
        <x:v>030041</x:v>
      </x:c>
      <x:c r="B40" s="21" t="str">
        <x:v>Forni di Sopra</x:v>
      </x:c>
      <x:c r="C40" s="21" t="str">
        <x:v>2023_Q4</x:v>
      </x:c>
      <x:c r="D40" s="24" t="n">
        <x:v>0</x:v>
      </x:c>
      <x:c r="E40" s="24" t="n">
        <x:v>0</x:v>
      </x:c>
      <x:c r="F40" s="24" t="n">
        <x:v>0</x:v>
      </x:c>
      <x:c r="G40" s="24" t="n">
        <x:v>0</x:v>
      </x:c>
      <x:c r="H40" s="24" t="n">
        <x:f>SUM(D40:G40)</x:f>
        <x:v>0</x:v>
      </x:c>
      <x:c r="I40" s="21" t="str">
        <x:v>ZERO_REAL_SOURCE_TABLE</x:v>
      </x:c>
      <x:c r="J40" s="21" t="str">
        <x:v>FORNI DI SOPRA</x:v>
      </x:c>
      <x:c r="K40" s="21" t="str">
        <x:v>DIRECT_NOMINAL</x:v>
      </x:c>
      <x:c r="L40" s="52" t="n">
        <x:v>73</x:v>
      </x:c>
      <x:c r="M40" s="21" t="str">
        <x:v>RAFVG_PDF_MUNICIPAL_TABLE</x:v>
      </x:c>
      <x:c r="N40" s="21" t="str">
        <x:v>https://www.consiglio.regione.fvg.it/cms/export/sites/consiglio/attivita/valutazione/Relazioni-informative/allegati/CV-LR-29-2005_V.pdf</x:v>
      </x:c>
      <x:c r="O40" s="21" t="str">
        <x:v>REGIONAL_TABLE</x:v>
      </x:c>
      <x:c r="P40" s="21" t="str">
        <x:v>RAFVG_REGIONAL_TABLE_2023</x:v>
      </x:c>
    </x:row>
    <x:row r="41">
      <x:c r="A41" s="20" t="str">
        <x:v>030042</x:v>
      </x:c>
      <x:c r="B41" s="21" t="str">
        <x:v>Forni di Sotto</x:v>
      </x:c>
      <x:c r="C41" s="21" t="str">
        <x:v>2023_Q4</x:v>
      </x:c>
      <x:c r="D41" s="24" t="n">
        <x:v>0</x:v>
      </x:c>
      <x:c r="E41" s="24" t="n">
        <x:v>0</x:v>
      </x:c>
      <x:c r="F41" s="24" t="n">
        <x:v>0</x:v>
      </x:c>
      <x:c r="G41" s="24" t="n">
        <x:v>0</x:v>
      </x:c>
      <x:c r="H41" s="24" t="n">
        <x:f>SUM(D41:G41)</x:f>
        <x:v>0</x:v>
      </x:c>
      <x:c r="I41" s="21" t="str">
        <x:v>ZERO_REAL_SOURCE_TABLE</x:v>
      </x:c>
      <x:c r="J41" s="21" t="str">
        <x:v>FORNI DI SOTTO</x:v>
      </x:c>
      <x:c r="K41" s="21" t="str">
        <x:v>DIRECT_NOMINAL</x:v>
      </x:c>
      <x:c r="L41" s="52" t="n">
        <x:v>73</x:v>
      </x:c>
      <x:c r="M41" s="21" t="str">
        <x:v>RAFVG_PDF_MUNICIPAL_TABLE</x:v>
      </x:c>
      <x:c r="N41" s="21" t="str">
        <x:v>https://www.consiglio.regione.fvg.it/cms/export/sites/consiglio/attivita/valutazione/Relazioni-informative/allegati/CV-LR-29-2005_V.pdf</x:v>
      </x:c>
      <x:c r="O41" s="21" t="str">
        <x:v>REGIONAL_TABLE</x:v>
      </x:c>
      <x:c r="P41" s="21" t="str">
        <x:v>RAFVG_REGIONAL_TABLE_2023</x:v>
      </x:c>
    </x:row>
    <x:row r="42">
      <x:c r="A42" s="20" t="str">
        <x:v>030043</x:v>
      </x:c>
      <x:c r="B42" s="21" t="str">
        <x:v>Gemona del Friuli</x:v>
      </x:c>
      <x:c r="C42" s="21" t="str">
        <x:v>2023_Q4</x:v>
      </x:c>
      <x:c r="D42" s="24" t="n">
        <x:v>5433</x:v>
      </x:c>
      <x:c r="E42" s="24" t="n">
        <x:v>3631</x:v>
      </x:c>
      <x:c r="F42" s="24" t="n">
        <x:v>0</x:v>
      </x:c>
      <x:c r="G42" s="24" t="n">
        <x:v>29999</x:v>
      </x:c>
      <x:c r="H42" s="24" t="n">
        <x:f>SUM(D42:G42)</x:f>
        <x:v>39063</x:v>
      </x:c>
      <x:c r="I42" s="21" t="str">
        <x:v>OBSERVED_POSITIVE</x:v>
      </x:c>
      <x:c r="J42" s="21" t="str">
        <x:v>GEMONA DEL FRIULI</x:v>
      </x:c>
      <x:c r="K42" s="21" t="str">
        <x:v>DIRECT_NOMINAL</x:v>
      </x:c>
      <x:c r="L42" s="52" t="n">
        <x:v>73</x:v>
      </x:c>
      <x:c r="M42" s="21" t="str">
        <x:v>RAFVG_PDF_MUNICIPAL_TABLE</x:v>
      </x:c>
      <x:c r="N42" s="21" t="str">
        <x:v>https://www.consiglio.regione.fvg.it/cms/export/sites/consiglio/attivita/valutazione/Relazioni-informative/allegati/CV-LR-29-2005_V.pdf</x:v>
      </x:c>
      <x:c r="O42" s="21" t="str">
        <x:v>NOT_ZERO</x:v>
      </x:c>
      <x:c r="P42" s="21" t="str">
        <x:v>RAFVG_REGIONAL_TABLE_2023</x:v>
      </x:c>
    </x:row>
    <x:row r="43">
      <x:c r="A43" s="20" t="str">
        <x:v>030044</x:v>
      </x:c>
      <x:c r="B43" s="21" t="str">
        <x:v>Gonars</x:v>
      </x:c>
      <x:c r="C43" s="21" t="str">
        <x:v>2022_Q2</x:v>
      </x:c>
      <x:c r="D43" s="24" t="n">
        <x:v>498</x:v>
      </x:c>
      <x:c r="E43" s="24" t="n">
        <x:v>0</x:v>
      </x:c>
      <x:c r="F43" s="24" t="n">
        <x:v>0</x:v>
      </x:c>
      <x:c r="G43" s="24" t="n">
        <x:v>0</x:v>
      </x:c>
      <x:c r="H43" s="24" t="n">
        <x:f>SUM(D43:G43)</x:f>
        <x:v>498</x:v>
      </x:c>
      <x:c r="I43" s="21" t="str">
        <x:v>OBSERVED_POSITIVE</x:v>
      </x:c>
      <x:c r="J43" s="21" t="str">
        <x:v>GONARS</x:v>
      </x:c>
      <x:c r="K43" s="21" t="str">
        <x:v>DIRECT_NOMINAL</x:v>
      </x:c>
      <x:c r="L43" s="52" t="n">
        <x:v>73</x:v>
      </x:c>
      <x:c r="M43" s="21" t="str">
        <x:v>RAFVG_PDF_MUNICIPAL_TABLE</x:v>
      </x:c>
      <x:c r="N43" s="21" t="str">
        <x:v>https://www.consiglio.regione.fvg.it/cms/export/sites/consiglio/attivita/valutazione/Relazioni-informative/allegati/CV-LR-29-2005_V.pdf</x:v>
      </x:c>
      <x:c r="O43" s="21" t="str">
        <x:v>NOT_ZERO</x:v>
      </x:c>
      <x:c r="P43" s="21" t="str">
        <x:v>RAFVG_REGIONAL_TABLE_2023</x:v>
      </x:c>
    </x:row>
    <x:row r="44">
      <x:c r="A44" s="20" t="str">
        <x:v>030045</x:v>
      </x:c>
      <x:c r="B44" s="21" t="str">
        <x:v>Grimacco</x:v>
      </x:c>
      <x:c r="C44" s="21" t="str">
        <x:v>2023</x:v>
      </x:c>
      <x:c r="D44" s="24" t="n">
        <x:v>0</x:v>
      </x:c>
      <x:c r="E44" s="24" t="n">
        <x:v>0</x:v>
      </x:c>
      <x:c r="F44" s="24" t="n">
        <x:v>0</x:v>
      </x:c>
      <x:c r="G44" s="24" t="n">
        <x:v>0</x:v>
      </x:c>
      <x:c r="H44" s="24" t="n">
        <x:f>SUM(D44:G44)</x:f>
        <x:v>0</x:v>
      </x:c>
      <x:c r="I44" s="21" t="str">
        <x:v>ZERO_REAL_EXTERNAL_2023</x:v>
      </x:c>
      <x:c r="J44" s="21" t="str"/>
      <x:c r="K44" s="21" t="str">
        <x:v>EXTERNAL_ZERO_RESOLUTION</x:v>
      </x:c>
      <x:c r="L44" s="52"/>
      <x:c r="M44" s="21" t="str">
        <x:v>Torre Natisone GAL SSL 2023-2027: nel 2023 nessun esercizio di vendita a Grimacco</x:v>
      </x:c>
      <x:c r="N44" s="21" t="str">
        <x:v>https://torrenatisonegal.com/wp-content/uploads/2024/08/ssl-2023-2027-torre-natisone-gal.pdf</x:v>
      </x:c>
      <x:c r="O44" s="21" t="str">
        <x:v>EXTERNAL_EVIDENCE</x:v>
      </x:c>
      <x:c r="P44" s="21" t="str">
        <x:v>EXTERNAL_EVIDENCE_2023</x:v>
      </x:c>
    </x:row>
    <x:row r="45">
      <x:c r="A45" s="20" t="str">
        <x:v>030046</x:v>
      </x:c>
      <x:c r="B45" s="21" t="str">
        <x:v>Latisana</x:v>
      </x:c>
      <x:c r="C45" s="21" t="str">
        <x:v>2023_Q4</x:v>
      </x:c>
      <x:c r="D45" s="24" t="n">
        <x:v>8197.8</x:v>
      </x:c>
      <x:c r="E45" s="24" t="n">
        <x:v>0</x:v>
      </x:c>
      <x:c r="F45" s="24" t="n">
        <x:v>0</x:v>
      </x:c>
      <x:c r="G45" s="24" t="n">
        <x:v>0</x:v>
      </x:c>
      <x:c r="H45" s="24" t="n">
        <x:f>SUM(D45:G45)</x:f>
        <x:v>8197.8</x:v>
      </x:c>
      <x:c r="I45" s="21" t="str">
        <x:v>OBSERVED_POSITIVE</x:v>
      </x:c>
      <x:c r="J45" s="21" t="str">
        <x:v>LATISANA</x:v>
      </x:c>
      <x:c r="K45" s="21" t="str">
        <x:v>DIRECT_NOMINAL</x:v>
      </x:c>
      <x:c r="L45" s="52" t="n">
        <x:v>74</x:v>
      </x:c>
      <x:c r="M45" s="21" t="str">
        <x:v>RAFVG_PDF_MUNICIPAL_TABLE</x:v>
      </x:c>
      <x:c r="N45" s="21" t="str">
        <x:v>https://www.consiglio.regione.fvg.it/cms/export/sites/consiglio/attivita/valutazione/Relazioni-informative/allegati/CV-LR-29-2005_V.pdf</x:v>
      </x:c>
      <x:c r="O45" s="21" t="str">
        <x:v>NOT_ZERO</x:v>
      </x:c>
      <x:c r="P45" s="21" t="str">
        <x:v>RAFVG_REGIONAL_TABLE_2023</x:v>
      </x:c>
    </x:row>
    <x:row r="46">
      <x:c r="A46" s="20" t="str">
        <x:v>030047</x:v>
      </x:c>
      <x:c r="B46" s="21" t="str">
        <x:v>Lauco</x:v>
      </x:c>
      <x:c r="C46" s="21" t="str">
        <x:v>2023_Q4</x:v>
      </x:c>
      <x:c r="D46" s="24" t="n">
        <x:v>0</x:v>
      </x:c>
      <x:c r="E46" s="24" t="n">
        <x:v>0</x:v>
      </x:c>
      <x:c r="F46" s="24" t="n">
        <x:v>0</x:v>
      </x:c>
      <x:c r="G46" s="24" t="n">
        <x:v>0</x:v>
      </x:c>
      <x:c r="H46" s="24" t="n">
        <x:f>SUM(D46:G46)</x:f>
        <x:v>0</x:v>
      </x:c>
      <x:c r="I46" s="21" t="str">
        <x:v>ZERO_REAL_SOURCE_TABLE</x:v>
      </x:c>
      <x:c r="J46" s="21" t="str">
        <x:v>LAUCO</x:v>
      </x:c>
      <x:c r="K46" s="21" t="str">
        <x:v>DIRECT_NOMINAL</x:v>
      </x:c>
      <x:c r="L46" s="52" t="n">
        <x:v>74</x:v>
      </x:c>
      <x:c r="M46" s="21" t="str">
        <x:v>RAFVG_PDF_MUNICIPAL_TABLE</x:v>
      </x:c>
      <x:c r="N46" s="21" t="str">
        <x:v>https://www.consiglio.regione.fvg.it/cms/export/sites/consiglio/attivita/valutazione/Relazioni-informative/allegati/CV-LR-29-2005_V.pdf</x:v>
      </x:c>
      <x:c r="O46" s="21" t="str">
        <x:v>REGIONAL_TABLE</x:v>
      </x:c>
      <x:c r="P46" s="21" t="str">
        <x:v>RAFVG_REGIONAL_TABLE_2023</x:v>
      </x:c>
    </x:row>
    <x:row r="47">
      <x:c r="A47" s="20" t="str">
        <x:v>030048</x:v>
      </x:c>
      <x:c r="B47" s="21" t="str">
        <x:v>Lestizza</x:v>
      </x:c>
      <x:c r="C47" s="21" t="str">
        <x:v>2023_Q4</x:v>
      </x:c>
      <x:c r="D47" s="24" t="n">
        <x:v>0</x:v>
      </x:c>
      <x:c r="E47" s="24" t="n">
        <x:v>0</x:v>
      </x:c>
      <x:c r="F47" s="24" t="n">
        <x:v>0</x:v>
      </x:c>
      <x:c r="G47" s="24" t="n">
        <x:v>0</x:v>
      </x:c>
      <x:c r="H47" s="24" t="n">
        <x:f>SUM(D47:G47)</x:f>
        <x:v>0</x:v>
      </x:c>
      <x:c r="I47" s="21" t="str">
        <x:v>ZERO_REAL_SOURCE_TABLE</x:v>
      </x:c>
      <x:c r="J47" s="21" t="str">
        <x:v>LESTIZZA</x:v>
      </x:c>
      <x:c r="K47" s="21" t="str">
        <x:v>DIRECT_NOMINAL</x:v>
      </x:c>
      <x:c r="L47" s="52" t="n">
        <x:v>74</x:v>
      </x:c>
      <x:c r="M47" s="21" t="str">
        <x:v>RAFVG_PDF_MUNICIPAL_TABLE</x:v>
      </x:c>
      <x:c r="N47" s="21" t="str">
        <x:v>https://www.consiglio.regione.fvg.it/cms/export/sites/consiglio/attivita/valutazione/Relazioni-informative/allegati/CV-LR-29-2005_V.pdf</x:v>
      </x:c>
      <x:c r="O47" s="21" t="str">
        <x:v>REGIONAL_TABLE</x:v>
      </x:c>
      <x:c r="P47" s="21" t="str">
        <x:v>RAFVG_REGIONAL_TABLE_2023</x:v>
      </x:c>
    </x:row>
    <x:row r="48">
      <x:c r="A48" s="20" t="str">
        <x:v>030049</x:v>
      </x:c>
      <x:c r="B48" s="21" t="str">
        <x:v>Lignano Sabbiadoro</x:v>
      </x:c>
      <x:c r="C48" s="21" t="str">
        <x:v>2023_Q4</x:v>
      </x:c>
      <x:c r="D48" s="24" t="n">
        <x:v>9875</x:v>
      </x:c>
      <x:c r="E48" s="24" t="n">
        <x:v>0</x:v>
      </x:c>
      <x:c r="F48" s="24" t="n">
        <x:v>0</x:v>
      </x:c>
      <x:c r="G48" s="24" t="n">
        <x:v>0</x:v>
      </x:c>
      <x:c r="H48" s="24" t="n">
        <x:f>SUM(D48:G48)</x:f>
        <x:v>9875</x:v>
      </x:c>
      <x:c r="I48" s="21" t="str">
        <x:v>OBSERVED_POSITIVE</x:v>
      </x:c>
      <x:c r="J48" s="21" t="str">
        <x:v>LIGNANO SABBIADORO</x:v>
      </x:c>
      <x:c r="K48" s="21" t="str">
        <x:v>DIRECT_NOMINAL</x:v>
      </x:c>
      <x:c r="L48" s="52" t="n">
        <x:v>74</x:v>
      </x:c>
      <x:c r="M48" s="21" t="str">
        <x:v>RAFVG_PDF_MUNICIPAL_TABLE</x:v>
      </x:c>
      <x:c r="N48" s="21" t="str">
        <x:v>https://www.consiglio.regione.fvg.it/cms/export/sites/consiglio/attivita/valutazione/Relazioni-informative/allegati/CV-LR-29-2005_V.pdf</x:v>
      </x:c>
      <x:c r="O48" s="21" t="str">
        <x:v>NOT_ZERO</x:v>
      </x:c>
      <x:c r="P48" s="21" t="str">
        <x:v>RAFVG_REGIONAL_TABLE_2023</x:v>
      </x:c>
    </x:row>
    <x:row r="49">
      <x:c r="A49" s="20" t="str">
        <x:v>030051</x:v>
      </x:c>
      <x:c r="B49" s="21" t="str">
        <x:v>Lusevera</x:v>
      </x:c>
      <x:c r="C49" s="21" t="str">
        <x:v>2023_Q4</x:v>
      </x:c>
      <x:c r="D49" s="24" t="n">
        <x:v>0</x:v>
      </x:c>
      <x:c r="E49" s="24" t="n">
        <x:v>0</x:v>
      </x:c>
      <x:c r="F49" s="24" t="n">
        <x:v>0</x:v>
      </x:c>
      <x:c r="G49" s="24" t="n">
        <x:v>0</x:v>
      </x:c>
      <x:c r="H49" s="24" t="n">
        <x:f>SUM(D49:G49)</x:f>
        <x:v>0</x:v>
      </x:c>
      <x:c r="I49" s="21" t="str">
        <x:v>ZERO_REAL_SOURCE_TABLE</x:v>
      </x:c>
      <x:c r="J49" s="21" t="str">
        <x:v>LUSEVERA</x:v>
      </x:c>
      <x:c r="K49" s="21" t="str">
        <x:v>DIRECT_NOMINAL</x:v>
      </x:c>
      <x:c r="L49" s="52" t="n">
        <x:v>75</x:v>
      </x:c>
      <x:c r="M49" s="21" t="str">
        <x:v>RAFVG_PDF_MUNICIPAL_TABLE</x:v>
      </x:c>
      <x:c r="N49" s="21" t="str">
        <x:v>https://www.consiglio.regione.fvg.it/cms/export/sites/consiglio/attivita/valutazione/Relazioni-informative/allegati/CV-LR-29-2005_V.pdf</x:v>
      </x:c>
      <x:c r="O49" s="21" t="str">
        <x:v>REGIONAL_TABLE</x:v>
      </x:c>
      <x:c r="P49" s="21" t="str">
        <x:v>RAFVG_REGIONAL_TABLE_2023</x:v>
      </x:c>
    </x:row>
    <x:row r="50">
      <x:c r="A50" s="20" t="str">
        <x:v>030052</x:v>
      </x:c>
      <x:c r="B50" s="21" t="str">
        <x:v>Magnano in Riviera</x:v>
      </x:c>
      <x:c r="C50" s="21" t="str">
        <x:v>2023_Q4</x:v>
      </x:c>
      <x:c r="D50" s="24" t="n">
        <x:v>2720</x:v>
      </x:c>
      <x:c r="E50" s="24" t="n">
        <x:v>3905</x:v>
      </x:c>
      <x:c r="F50" s="24" t="n">
        <x:v>0</x:v>
      </x:c>
      <x:c r="G50" s="24" t="n">
        <x:v>0</x:v>
      </x:c>
      <x:c r="H50" s="24" t="n">
        <x:f>SUM(D50:G50)</x:f>
        <x:v>6625</x:v>
      </x:c>
      <x:c r="I50" s="21" t="str">
        <x:v>OBSERVED_POSITIVE</x:v>
      </x:c>
      <x:c r="J50" s="21" t="str">
        <x:v>MAGNANO IN RIVIERA</x:v>
      </x:c>
      <x:c r="K50" s="21" t="str">
        <x:v>DIRECT_NOMINAL</x:v>
      </x:c>
      <x:c r="L50" s="52" t="n">
        <x:v>75</x:v>
      </x:c>
      <x:c r="M50" s="21" t="str">
        <x:v>RAFVG_PDF_MUNICIPAL_TABLE</x:v>
      </x:c>
      <x:c r="N50" s="21" t="str">
        <x:v>https://www.consiglio.regione.fvg.it/cms/export/sites/consiglio/attivita/valutazione/Relazioni-informative/allegati/CV-LR-29-2005_V.pdf</x:v>
      </x:c>
      <x:c r="O50" s="21" t="str">
        <x:v>NOT_ZERO</x:v>
      </x:c>
      <x:c r="P50" s="21" t="str">
        <x:v>RAFVG_REGIONAL_TABLE_2023</x:v>
      </x:c>
    </x:row>
    <x:row r="51">
      <x:c r="A51" s="20" t="str">
        <x:v>030053</x:v>
      </x:c>
      <x:c r="B51" s="21" t="str">
        <x:v>Majano</x:v>
      </x:c>
      <x:c r="C51" s="21" t="str">
        <x:v>2023_Q4</x:v>
      </x:c>
      <x:c r="D51" s="24" t="n">
        <x:v>5597.78</x:v>
      </x:c>
      <x:c r="E51" s="24" t="n">
        <x:v>0</x:v>
      </x:c>
      <x:c r="F51" s="24" t="n">
        <x:v>0</x:v>
      </x:c>
      <x:c r="G51" s="24" t="n">
        <x:v>0</x:v>
      </x:c>
      <x:c r="H51" s="24" t="n">
        <x:f>SUM(D51:G51)</x:f>
        <x:v>5597.78</x:v>
      </x:c>
      <x:c r="I51" s="21" t="str">
        <x:v>OBSERVED_POSITIVE</x:v>
      </x:c>
      <x:c r="J51" s="21" t="str">
        <x:v>MAJANO</x:v>
      </x:c>
      <x:c r="K51" s="21" t="str">
        <x:v>DIRECT_NOMINAL</x:v>
      </x:c>
      <x:c r="L51" s="52" t="n">
        <x:v>75</x:v>
      </x:c>
      <x:c r="M51" s="21" t="str">
        <x:v>RAFVG_PDF_MUNICIPAL_TABLE</x:v>
      </x:c>
      <x:c r="N51" s="21" t="str">
        <x:v>https://www.consiglio.regione.fvg.it/cms/export/sites/consiglio/attivita/valutazione/Relazioni-informative/allegati/CV-LR-29-2005_V.pdf</x:v>
      </x:c>
      <x:c r="O51" s="21" t="str">
        <x:v>NOT_ZERO</x:v>
      </x:c>
      <x:c r="P51" s="21" t="str">
        <x:v>RAFVG_REGIONAL_TABLE_2023</x:v>
      </x:c>
    </x:row>
    <x:row r="52">
      <x:c r="A52" s="20" t="str">
        <x:v>030054</x:v>
      </x:c>
      <x:c r="B52" s="21" t="str">
        <x:v>Malborghetto Valbruna</x:v>
      </x:c>
      <x:c r="C52" s="21" t="str">
        <x:v>2023_Q4</x:v>
      </x:c>
      <x:c r="D52" s="24" t="n">
        <x:v>0</x:v>
      </x:c>
      <x:c r="E52" s="24" t="n">
        <x:v>0</x:v>
      </x:c>
      <x:c r="F52" s="24" t="n">
        <x:v>0</x:v>
      </x:c>
      <x:c r="G52" s="24" t="n">
        <x:v>0</x:v>
      </x:c>
      <x:c r="H52" s="24" t="n">
        <x:f>SUM(D52:G52)</x:f>
        <x:v>0</x:v>
      </x:c>
      <x:c r="I52" s="21" t="str">
        <x:v>ZERO_REAL_SOURCE_TABLE</x:v>
      </x:c>
      <x:c r="J52" s="21" t="str">
        <x:v>MALBORGHETTO VALBRUNA</x:v>
      </x:c>
      <x:c r="K52" s="21" t="str">
        <x:v>DIRECT_NOMINAL</x:v>
      </x:c>
      <x:c r="L52" s="52" t="n">
        <x:v>75</x:v>
      </x:c>
      <x:c r="M52" s="21" t="str">
        <x:v>RAFVG_PDF_MUNICIPAL_TABLE</x:v>
      </x:c>
      <x:c r="N52" s="21" t="str">
        <x:v>https://www.consiglio.regione.fvg.it/cms/export/sites/consiglio/attivita/valutazione/Relazioni-informative/allegati/CV-LR-29-2005_V.pdf</x:v>
      </x:c>
      <x:c r="O52" s="21" t="str">
        <x:v>REGIONAL_TABLE</x:v>
      </x:c>
      <x:c r="P52" s="21" t="str">
        <x:v>RAFVG_REGIONAL_TABLE_2023</x:v>
      </x:c>
    </x:row>
    <x:row r="53">
      <x:c r="A53" s="20" t="str">
        <x:v>030055</x:v>
      </x:c>
      <x:c r="B53" s="21" t="str">
        <x:v>Manzano</x:v>
      </x:c>
      <x:c r="C53" s="21" t="str">
        <x:v>2023_Q4</x:v>
      </x:c>
      <x:c r="D53" s="24" t="n">
        <x:v>5495.67</x:v>
      </x:c>
      <x:c r="E53" s="24" t="n">
        <x:v>0</x:v>
      </x:c>
      <x:c r="F53" s="24" t="n">
        <x:v>0</x:v>
      </x:c>
      <x:c r="G53" s="24" t="n">
        <x:v>0</x:v>
      </x:c>
      <x:c r="H53" s="24" t="n">
        <x:f>SUM(D53:G53)</x:f>
        <x:v>5495.67</x:v>
      </x:c>
      <x:c r="I53" s="21" t="str">
        <x:v>OBSERVED_POSITIVE</x:v>
      </x:c>
      <x:c r="J53" s="21" t="str">
        <x:v>MANZANO</x:v>
      </x:c>
      <x:c r="K53" s="21" t="str">
        <x:v>DIRECT_NOMINAL</x:v>
      </x:c>
      <x:c r="L53" s="52" t="n">
        <x:v>75</x:v>
      </x:c>
      <x:c r="M53" s="21" t="str">
        <x:v>RAFVG_PDF_MUNICIPAL_TABLE</x:v>
      </x:c>
      <x:c r="N53" s="21" t="str">
        <x:v>https://www.consiglio.regione.fvg.it/cms/export/sites/consiglio/attivita/valutazione/Relazioni-informative/allegati/CV-LR-29-2005_V.pdf</x:v>
      </x:c>
      <x:c r="O53" s="21" t="str">
        <x:v>NOT_ZERO</x:v>
      </x:c>
      <x:c r="P53" s="21" t="str">
        <x:v>RAFVG_REGIONAL_TABLE_2023</x:v>
      </x:c>
    </x:row>
    <x:row r="54">
      <x:c r="A54" s="20" t="str">
        <x:v>030056</x:v>
      </x:c>
      <x:c r="B54" s="21" t="str">
        <x:v>Marano Lagunare</x:v>
      </x:c>
      <x:c r="C54" s="21" t="str">
        <x:v>2023_Q4</x:v>
      </x:c>
      <x:c r="D54" s="24" t="n">
        <x:v>1000</x:v>
      </x:c>
      <x:c r="E54" s="24" t="n">
        <x:v>0</x:v>
      </x:c>
      <x:c r="F54" s="24" t="n">
        <x:v>0</x:v>
      </x:c>
      <x:c r="G54" s="24" t="n">
        <x:v>0</x:v>
      </x:c>
      <x:c r="H54" s="24" t="n">
        <x:f>SUM(D54:G54)</x:f>
        <x:v>1000</x:v>
      </x:c>
      <x:c r="I54" s="21" t="str">
        <x:v>OBSERVED_POSITIVE</x:v>
      </x:c>
      <x:c r="J54" s="21" t="str">
        <x:v>MARANO LAGUNARE</x:v>
      </x:c>
      <x:c r="K54" s="21" t="str">
        <x:v>DIRECT_NOMINAL</x:v>
      </x:c>
      <x:c r="L54" s="52" t="n">
        <x:v>76</x:v>
      </x:c>
      <x:c r="M54" s="21" t="str">
        <x:v>RAFVG_PDF_MUNICIPAL_TABLE</x:v>
      </x:c>
      <x:c r="N54" s="21" t="str">
        <x:v>https://www.consiglio.regione.fvg.it/cms/export/sites/consiglio/attivita/valutazione/Relazioni-informative/allegati/CV-LR-29-2005_V.pdf</x:v>
      </x:c>
      <x:c r="O54" s="21" t="str">
        <x:v>NOT_ZERO</x:v>
      </x:c>
      <x:c r="P54" s="21" t="str">
        <x:v>RAFVG_REGIONAL_TABLE_2023</x:v>
      </x:c>
    </x:row>
    <x:row r="55">
      <x:c r="A55" s="20" t="str">
        <x:v>030057</x:v>
      </x:c>
      <x:c r="B55" s="21" t="str">
        <x:v>Martignacco</x:v>
      </x:c>
      <x:c r="C55" s="21" t="str">
        <x:v>2023_Q4</x:v>
      </x:c>
      <x:c r="D55" s="24" t="n">
        <x:v>1499</x:v>
      </x:c>
      <x:c r="E55" s="24" t="n">
        <x:v>11491</x:v>
      </x:c>
      <x:c r="F55" s="24" t="n">
        <x:v>0</x:v>
      </x:c>
      <x:c r="G55" s="24" t="n">
        <x:v>88704</x:v>
      </x:c>
      <x:c r="H55" s="24" t="n">
        <x:f>SUM(D55:G55)</x:f>
        <x:v>101694</x:v>
      </x:c>
      <x:c r="I55" s="21" t="str">
        <x:v>OBSERVED_POSITIVE</x:v>
      </x:c>
      <x:c r="J55" s="21" t="str">
        <x:v>MARTIGNACCO</x:v>
      </x:c>
      <x:c r="K55" s="21" t="str">
        <x:v>DIRECT_NOMINAL</x:v>
      </x:c>
      <x:c r="L55" s="52" t="n">
        <x:v>76</x:v>
      </x:c>
      <x:c r="M55" s="21" t="str">
        <x:v>RAFVG_PDF_MUNICIPAL_TABLE</x:v>
      </x:c>
      <x:c r="N55" s="21" t="str">
        <x:v>https://www.consiglio.regione.fvg.it/cms/export/sites/consiglio/attivita/valutazione/Relazioni-informative/allegati/CV-LR-29-2005_V.pdf</x:v>
      </x:c>
      <x:c r="O55" s="21" t="str">
        <x:v>NOT_ZERO</x:v>
      </x:c>
      <x:c r="P55" s="21" t="str">
        <x:v>RAFVG_REGIONAL_TABLE_2023</x:v>
      </x:c>
    </x:row>
    <x:row r="56">
      <x:c r="A56" s="20" t="str">
        <x:v>030058</x:v>
      </x:c>
      <x:c r="B56" s="21" t="str">
        <x:v>Mereto di Tomba</x:v>
      </x:c>
      <x:c r="C56" s="21" t="str">
        <x:v>2023_Q4</x:v>
      </x:c>
      <x:c r="D56" s="24" t="n">
        <x:v>0</x:v>
      </x:c>
      <x:c r="E56" s="24" t="n">
        <x:v>0</x:v>
      </x:c>
      <x:c r="F56" s="24" t="n">
        <x:v>0</x:v>
      </x:c>
      <x:c r="G56" s="24" t="n">
        <x:v>0</x:v>
      </x:c>
      <x:c r="H56" s="24" t="n">
        <x:f>SUM(D56:G56)</x:f>
        <x:v>0</x:v>
      </x:c>
      <x:c r="I56" s="21" t="str">
        <x:v>ZERO_REAL_SOURCE_TABLE</x:v>
      </x:c>
      <x:c r="J56" s="21" t="str">
        <x:v>MERETO DI TOMBA</x:v>
      </x:c>
      <x:c r="K56" s="21" t="str">
        <x:v>DIRECT_NOMINAL</x:v>
      </x:c>
      <x:c r="L56" s="52" t="n">
        <x:v>76</x:v>
      </x:c>
      <x:c r="M56" s="21" t="str">
        <x:v>RAFVG_PDF_MUNICIPAL_TABLE</x:v>
      </x:c>
      <x:c r="N56" s="21" t="str">
        <x:v>https://www.consiglio.regione.fvg.it/cms/export/sites/consiglio/attivita/valutazione/Relazioni-informative/allegati/CV-LR-29-2005_V.pdf</x:v>
      </x:c>
      <x:c r="O56" s="21" t="str">
        <x:v>REGIONAL_TABLE</x:v>
      </x:c>
      <x:c r="P56" s="21" t="str">
        <x:v>RAFVG_REGIONAL_TABLE_2023</x:v>
      </x:c>
    </x:row>
    <x:row r="57">
      <x:c r="A57" s="20" t="str">
        <x:v>030059</x:v>
      </x:c>
      <x:c r="B57" s="21" t="str">
        <x:v>Moggio Udinese</x:v>
      </x:c>
      <x:c r="C57" s="21" t="str">
        <x:v>2023_Q4</x:v>
      </x:c>
      <x:c r="D57" s="24" t="n">
        <x:v>0</x:v>
      </x:c>
      <x:c r="E57" s="24" t="n">
        <x:v>0</x:v>
      </x:c>
      <x:c r="F57" s="24" t="n">
        <x:v>0</x:v>
      </x:c>
      <x:c r="G57" s="24" t="n">
        <x:v>0</x:v>
      </x:c>
      <x:c r="H57" s="24" t="n">
        <x:f>SUM(D57:G57)</x:f>
        <x:v>0</x:v>
      </x:c>
      <x:c r="I57" s="21" t="str">
        <x:v>ZERO_REAL_SOURCE_TABLE</x:v>
      </x:c>
      <x:c r="J57" s="21" t="str">
        <x:v>MOGGIO UDINESE</x:v>
      </x:c>
      <x:c r="K57" s="21" t="str">
        <x:v>DIRECT_NOMINAL</x:v>
      </x:c>
      <x:c r="L57" s="52" t="n">
        <x:v>76</x:v>
      </x:c>
      <x:c r="M57" s="21" t="str">
        <x:v>RAFVG_PDF_MUNICIPAL_TABLE</x:v>
      </x:c>
      <x:c r="N57" s="21" t="str">
        <x:v>https://www.consiglio.regione.fvg.it/cms/export/sites/consiglio/attivita/valutazione/Relazioni-informative/allegati/CV-LR-29-2005_V.pdf</x:v>
      </x:c>
      <x:c r="O57" s="21" t="str">
        <x:v>REGIONAL_TABLE</x:v>
      </x:c>
      <x:c r="P57" s="21" t="str">
        <x:v>RAFVG_REGIONAL_TABLE_2023</x:v>
      </x:c>
    </x:row>
    <x:row r="58">
      <x:c r="A58" s="20" t="str">
        <x:v>030060</x:v>
      </x:c>
      <x:c r="B58" s="21" t="str">
        <x:v>Moimacco</x:v>
      </x:c>
      <x:c r="C58" s="21" t="str">
        <x:v>2023_Q4</x:v>
      </x:c>
      <x:c r="D58" s="24" t="n">
        <x:v>0</x:v>
      </x:c>
      <x:c r="E58" s="24" t="n">
        <x:v>0</x:v>
      </x:c>
      <x:c r="F58" s="24" t="n">
        <x:v>0</x:v>
      </x:c>
      <x:c r="G58" s="24" t="n">
        <x:v>0</x:v>
      </x:c>
      <x:c r="H58" s="24" t="n">
        <x:f>SUM(D58:G58)</x:f>
        <x:v>0</x:v>
      </x:c>
      <x:c r="I58" s="21" t="str">
        <x:v>ZERO_REAL_SOURCE_TABLE</x:v>
      </x:c>
      <x:c r="J58" s="21" t="str">
        <x:v>MOIMACCO</x:v>
      </x:c>
      <x:c r="K58" s="21" t="str">
        <x:v>DIRECT_NOMINAL</x:v>
      </x:c>
      <x:c r="L58" s="52" t="n">
        <x:v>77</x:v>
      </x:c>
      <x:c r="M58" s="21" t="str">
        <x:v>RAFVG_PDF_MUNICIPAL_TABLE</x:v>
      </x:c>
      <x:c r="N58" s="21" t="str">
        <x:v>https://www.consiglio.regione.fvg.it/cms/export/sites/consiglio/attivita/valutazione/Relazioni-informative/allegati/CV-LR-29-2005_V.pdf</x:v>
      </x:c>
      <x:c r="O58" s="21" t="str">
        <x:v>REGIONAL_TABLE</x:v>
      </x:c>
      <x:c r="P58" s="21" t="str">
        <x:v>RAFVG_REGIONAL_TABLE_2023</x:v>
      </x:c>
    </x:row>
    <x:row r="59">
      <x:c r="A59" s="20" t="str">
        <x:v>030061</x:v>
      </x:c>
      <x:c r="B59" s="21" t="str">
        <x:v>Montenars</x:v>
      </x:c>
      <x:c r="C59" s="21" t="str">
        <x:v>2023_Q4</x:v>
      </x:c>
      <x:c r="D59" s="24" t="n">
        <x:v>0</x:v>
      </x:c>
      <x:c r="E59" s="24" t="n">
        <x:v>0</x:v>
      </x:c>
      <x:c r="F59" s="24" t="n">
        <x:v>0</x:v>
      </x:c>
      <x:c r="G59" s="24" t="n">
        <x:v>0</x:v>
      </x:c>
      <x:c r="H59" s="24" t="n">
        <x:f>SUM(D59:G59)</x:f>
        <x:v>0</x:v>
      </x:c>
      <x:c r="I59" s="21" t="str">
        <x:v>ZERO_REAL_SOURCE_TABLE</x:v>
      </x:c>
      <x:c r="J59" s="21" t="str">
        <x:v>MONTENARS</x:v>
      </x:c>
      <x:c r="K59" s="21" t="str">
        <x:v>DIRECT_NOMINAL</x:v>
      </x:c>
      <x:c r="L59" s="52" t="n">
        <x:v>77</x:v>
      </x:c>
      <x:c r="M59" s="21" t="str">
        <x:v>RAFVG_PDF_MUNICIPAL_TABLE</x:v>
      </x:c>
      <x:c r="N59" s="21" t="str">
        <x:v>https://www.consiglio.regione.fvg.it/cms/export/sites/consiglio/attivita/valutazione/Relazioni-informative/allegati/CV-LR-29-2005_V.pdf</x:v>
      </x:c>
      <x:c r="O59" s="21" t="str">
        <x:v>REGIONAL_TABLE</x:v>
      </x:c>
      <x:c r="P59" s="21" t="str">
        <x:v>RAFVG_REGIONAL_TABLE_2023</x:v>
      </x:c>
    </x:row>
    <x:row r="60">
      <x:c r="A60" s="20" t="str">
        <x:v>030062</x:v>
      </x:c>
      <x:c r="B60" s="21" t="str">
        <x:v>Mortegliano</x:v>
      </x:c>
      <x:c r="C60" s="21" t="str">
        <x:v>2023_Q4</x:v>
      </x:c>
      <x:c r="D60" s="24" t="n">
        <x:v>1999</x:v>
      </x:c>
      <x:c r="E60" s="24" t="n">
        <x:v>0</x:v>
      </x:c>
      <x:c r="F60" s="24" t="n">
        <x:v>0</x:v>
      </x:c>
      <x:c r="G60" s="24" t="n">
        <x:v>0</x:v>
      </x:c>
      <x:c r="H60" s="24" t="n">
        <x:f>SUM(D60:G60)</x:f>
        <x:v>1999</x:v>
      </x:c>
      <x:c r="I60" s="21" t="str">
        <x:v>OBSERVED_POSITIVE</x:v>
      </x:c>
      <x:c r="J60" s="21" t="str">
        <x:v>MORTEGLIANO</x:v>
      </x:c>
      <x:c r="K60" s="21" t="str">
        <x:v>DIRECT_NOMINAL</x:v>
      </x:c>
      <x:c r="L60" s="52" t="n">
        <x:v>77</x:v>
      </x:c>
      <x:c r="M60" s="21" t="str">
        <x:v>RAFVG_PDF_MUNICIPAL_TABLE</x:v>
      </x:c>
      <x:c r="N60" s="21" t="str">
        <x:v>https://www.consiglio.regione.fvg.it/cms/export/sites/consiglio/attivita/valutazione/Relazioni-informative/allegati/CV-LR-29-2005_V.pdf</x:v>
      </x:c>
      <x:c r="O60" s="21" t="str">
        <x:v>NOT_ZERO</x:v>
      </x:c>
      <x:c r="P60" s="21" t="str">
        <x:v>RAFVG_REGIONAL_TABLE_2023</x:v>
      </x:c>
    </x:row>
    <x:row r="61">
      <x:c r="A61" s="20" t="str">
        <x:v>030063</x:v>
      </x:c>
      <x:c r="B61" s="21" t="str">
        <x:v>Moruzzo</x:v>
      </x:c>
      <x:c r="C61" s="21" t="str">
        <x:v>2023_Q4</x:v>
      </x:c>
      <x:c r="D61" s="24" t="n">
        <x:v>0</x:v>
      </x:c>
      <x:c r="E61" s="24" t="n">
        <x:v>0</x:v>
      </x:c>
      <x:c r="F61" s="24" t="n">
        <x:v>0</x:v>
      </x:c>
      <x:c r="G61" s="24" t="n">
        <x:v>0</x:v>
      </x:c>
      <x:c r="H61" s="24" t="n">
        <x:f>SUM(D61:G61)</x:f>
        <x:v>0</x:v>
      </x:c>
      <x:c r="I61" s="21" t="str">
        <x:v>ZERO_REAL_SOURCE_TABLE</x:v>
      </x:c>
      <x:c r="J61" s="21" t="str">
        <x:v>MORUZZO</x:v>
      </x:c>
      <x:c r="K61" s="21" t="str">
        <x:v>DIRECT_NOMINAL</x:v>
      </x:c>
      <x:c r="L61" s="52" t="n">
        <x:v>77</x:v>
      </x:c>
      <x:c r="M61" s="21" t="str">
        <x:v>RAFVG_PDF_MUNICIPAL_TABLE</x:v>
      </x:c>
      <x:c r="N61" s="21" t="str">
        <x:v>https://www.consiglio.regione.fvg.it/cms/export/sites/consiglio/attivita/valutazione/Relazioni-informative/allegati/CV-LR-29-2005_V.pdf</x:v>
      </x:c>
      <x:c r="O61" s="21" t="str">
        <x:v>REGIONAL_TABLE</x:v>
      </x:c>
      <x:c r="P61" s="21" t="str">
        <x:v>RAFVG_REGIONAL_TABLE_2023</x:v>
      </x:c>
    </x:row>
    <x:row r="62">
      <x:c r="A62" s="20" t="str">
        <x:v>030064</x:v>
      </x:c>
      <x:c r="B62" s="21" t="str">
        <x:v>Muzzana del Turgnano</x:v>
      </x:c>
      <x:c r="C62" s="21" t="str">
        <x:v>2023_Q4</x:v>
      </x:c>
      <x:c r="D62" s="24" t="n">
        <x:v>0</x:v>
      </x:c>
      <x:c r="E62" s="24" t="n">
        <x:v>0</x:v>
      </x:c>
      <x:c r="F62" s="24" t="n">
        <x:v>0</x:v>
      </x:c>
      <x:c r="G62" s="24" t="n">
        <x:v>0</x:v>
      </x:c>
      <x:c r="H62" s="24" t="n">
        <x:f>SUM(D62:G62)</x:f>
        <x:v>0</x:v>
      </x:c>
      <x:c r="I62" s="21" t="str">
        <x:v>ZERO_REAL_SOURCE_TABLE</x:v>
      </x:c>
      <x:c r="J62" s="21" t="str">
        <x:v>MUZZANA DEL TURGNANO</x:v>
      </x:c>
      <x:c r="K62" s="21" t="str">
        <x:v>DIRECT_NOMINAL</x:v>
      </x:c>
      <x:c r="L62" s="52" t="n">
        <x:v>77</x:v>
      </x:c>
      <x:c r="M62" s="21" t="str">
        <x:v>RAFVG_PDF_MUNICIPAL_TABLE</x:v>
      </x:c>
      <x:c r="N62" s="21" t="str">
        <x:v>https://www.consiglio.regione.fvg.it/cms/export/sites/consiglio/attivita/valutazione/Relazioni-informative/allegati/CV-LR-29-2005_V.pdf</x:v>
      </x:c>
      <x:c r="O62" s="21" t="str">
        <x:v>REGIONAL_TABLE</x:v>
      </x:c>
      <x:c r="P62" s="21" t="str">
        <x:v>RAFVG_REGIONAL_TABLE_2023</x:v>
      </x:c>
    </x:row>
    <x:row r="63">
      <x:c r="A63" s="20" t="str">
        <x:v>030065</x:v>
      </x:c>
      <x:c r="B63" s="21" t="str">
        <x:v>Nimis</x:v>
      </x:c>
      <x:c r="C63" s="21" t="str">
        <x:v>2023_Q4</x:v>
      </x:c>
      <x:c r="D63" s="24" t="n">
        <x:v>1500</x:v>
      </x:c>
      <x:c r="E63" s="24" t="n">
        <x:v>0</x:v>
      </x:c>
      <x:c r="F63" s="24" t="n">
        <x:v>0</x:v>
      </x:c>
      <x:c r="G63" s="24" t="n">
        <x:v>0</x:v>
      </x:c>
      <x:c r="H63" s="24" t="n">
        <x:f>SUM(D63:G63)</x:f>
        <x:v>1500</x:v>
      </x:c>
      <x:c r="I63" s="21" t="str">
        <x:v>OBSERVED_POSITIVE</x:v>
      </x:c>
      <x:c r="J63" s="21" t="str">
        <x:v>NIMIS</x:v>
      </x:c>
      <x:c r="K63" s="21" t="str">
        <x:v>DIRECT_NOMINAL</x:v>
      </x:c>
      <x:c r="L63" s="52" t="n">
        <x:v>77</x:v>
      </x:c>
      <x:c r="M63" s="21" t="str">
        <x:v>RAFVG_PDF_MUNICIPAL_TABLE</x:v>
      </x:c>
      <x:c r="N63" s="21" t="str">
        <x:v>https://www.consiglio.regione.fvg.it/cms/export/sites/consiglio/attivita/valutazione/Relazioni-informative/allegati/CV-LR-29-2005_V.pdf</x:v>
      </x:c>
      <x:c r="O63" s="21" t="str">
        <x:v>NOT_ZERO</x:v>
      </x:c>
      <x:c r="P63" s="21" t="str">
        <x:v>RAFVG_REGIONAL_TABLE_2023</x:v>
      </x:c>
    </x:row>
    <x:row r="64">
      <x:c r="A64" s="20" t="str">
        <x:v>030066</x:v>
      </x:c>
      <x:c r="B64" s="21" t="str">
        <x:v>Osoppo</x:v>
      </x:c>
      <x:c r="C64" s="21" t="str">
        <x:v>2023_Q4</x:v>
      </x:c>
      <x:c r="D64" s="24" t="n">
        <x:v>892.42</x:v>
      </x:c>
      <x:c r="E64" s="24" t="n">
        <x:v>2777.64</x:v>
      </x:c>
      <x:c r="F64" s="24" t="n">
        <x:v>0</x:v>
      </x:c>
      <x:c r="G64" s="24" t="n">
        <x:v>0</x:v>
      </x:c>
      <x:c r="H64" s="24" t="n">
        <x:f>SUM(D64:G64)</x:f>
        <x:v>3670.06</x:v>
      </x:c>
      <x:c r="I64" s="21" t="str">
        <x:v>OBSERVED_POSITIVE</x:v>
      </x:c>
      <x:c r="J64" s="21" t="str">
        <x:v>OSOPPO</x:v>
      </x:c>
      <x:c r="K64" s="21" t="str">
        <x:v>DIRECT_NOMINAL</x:v>
      </x:c>
      <x:c r="L64" s="52" t="n">
        <x:v>78</x:v>
      </x:c>
      <x:c r="M64" s="21" t="str">
        <x:v>RAFVG_PDF_MUNICIPAL_TABLE</x:v>
      </x:c>
      <x:c r="N64" s="21" t="str">
        <x:v>https://www.consiglio.regione.fvg.it/cms/export/sites/consiglio/attivita/valutazione/Relazioni-informative/allegati/CV-LR-29-2005_V.pdf</x:v>
      </x:c>
      <x:c r="O64" s="21" t="str">
        <x:v>NOT_ZERO</x:v>
      </x:c>
      <x:c r="P64" s="21" t="str">
        <x:v>RAFVG_REGIONAL_TABLE_2023</x:v>
      </x:c>
    </x:row>
    <x:row r="65">
      <x:c r="A65" s="20" t="str">
        <x:v>030067</x:v>
      </x:c>
      <x:c r="B65" s="21" t="str">
        <x:v>Ovaro</x:v>
      </x:c>
      <x:c r="C65" s="21" t="str">
        <x:v>2023_Q4</x:v>
      </x:c>
      <x:c r="D65" s="24" t="n">
        <x:v>0</x:v>
      </x:c>
      <x:c r="E65" s="24" t="n">
        <x:v>0</x:v>
      </x:c>
      <x:c r="F65" s="24" t="n">
        <x:v>0</x:v>
      </x:c>
      <x:c r="G65" s="24" t="n">
        <x:v>0</x:v>
      </x:c>
      <x:c r="H65" s="24" t="n">
        <x:f>SUM(D65:G65)</x:f>
        <x:v>0</x:v>
      </x:c>
      <x:c r="I65" s="21" t="str">
        <x:v>ZERO_REAL_SOURCE_TABLE</x:v>
      </x:c>
      <x:c r="J65" s="21" t="str">
        <x:v>OVARO</x:v>
      </x:c>
      <x:c r="K65" s="21" t="str">
        <x:v>DIRECT_NOMINAL</x:v>
      </x:c>
      <x:c r="L65" s="52" t="n">
        <x:v>78</x:v>
      </x:c>
      <x:c r="M65" s="21" t="str">
        <x:v>RAFVG_PDF_MUNICIPAL_TABLE</x:v>
      </x:c>
      <x:c r="N65" s="21" t="str">
        <x:v>https://www.consiglio.regione.fvg.it/cms/export/sites/consiglio/attivita/valutazione/Relazioni-informative/allegati/CV-LR-29-2005_V.pdf</x:v>
      </x:c>
      <x:c r="O65" s="21" t="str">
        <x:v>REGIONAL_TABLE</x:v>
      </x:c>
      <x:c r="P65" s="21" t="str">
        <x:v>RAFVG_REGIONAL_TABLE_2023</x:v>
      </x:c>
    </x:row>
    <x:row r="66">
      <x:c r="A66" s="20" t="str">
        <x:v>030068</x:v>
      </x:c>
      <x:c r="B66" s="21" t="str">
        <x:v>Pagnacco</x:v>
      </x:c>
      <x:c r="C66" s="21" t="str">
        <x:v>2023_Q4</x:v>
      </x:c>
      <x:c r="D66" s="24" t="n">
        <x:v>670.65</x:v>
      </x:c>
      <x:c r="E66" s="24" t="n">
        <x:v>0</x:v>
      </x:c>
      <x:c r="F66" s="24" t="n">
        <x:v>0</x:v>
      </x:c>
      <x:c r="G66" s="24" t="n">
        <x:v>0</x:v>
      </x:c>
      <x:c r="H66" s="24" t="n">
        <x:f>SUM(D66:G66)</x:f>
        <x:v>670.65</x:v>
      </x:c>
      <x:c r="I66" s="21" t="str">
        <x:v>OBSERVED_POSITIVE</x:v>
      </x:c>
      <x:c r="J66" s="21" t="str">
        <x:v>PAGNACCO</x:v>
      </x:c>
      <x:c r="K66" s="21" t="str">
        <x:v>DIRECT_NOMINAL</x:v>
      </x:c>
      <x:c r="L66" s="52" t="n">
        <x:v>78</x:v>
      </x:c>
      <x:c r="M66" s="21" t="str">
        <x:v>RAFVG_PDF_MUNICIPAL_TABLE</x:v>
      </x:c>
      <x:c r="N66" s="21" t="str">
        <x:v>https://www.consiglio.regione.fvg.it/cms/export/sites/consiglio/attivita/valutazione/Relazioni-informative/allegati/CV-LR-29-2005_V.pdf</x:v>
      </x:c>
      <x:c r="O66" s="21" t="str">
        <x:v>NOT_ZERO</x:v>
      </x:c>
      <x:c r="P66" s="21" t="str">
        <x:v>RAFVG_REGIONAL_TABLE_2023</x:v>
      </x:c>
    </x:row>
    <x:row r="67">
      <x:c r="A67" s="20" t="str">
        <x:v>030069</x:v>
      </x:c>
      <x:c r="B67" s="21" t="str">
        <x:v>Palazzolo dello Stella</x:v>
      </x:c>
      <x:c r="C67" s="21" t="str">
        <x:v>2023_Q4</x:v>
      </x:c>
      <x:c r="D67" s="24" t="n">
        <x:v>2236.4</x:v>
      </x:c>
      <x:c r="E67" s="24" t="n">
        <x:v>0</x:v>
      </x:c>
      <x:c r="F67" s="24" t="n">
        <x:v>0</x:v>
      </x:c>
      <x:c r="G67" s="24" t="n">
        <x:v>0</x:v>
      </x:c>
      <x:c r="H67" s="24" t="n">
        <x:f>SUM(D67:G67)</x:f>
        <x:v>2236.4</x:v>
      </x:c>
      <x:c r="I67" s="21" t="str">
        <x:v>OBSERVED_POSITIVE</x:v>
      </x:c>
      <x:c r="J67" s="21" t="str">
        <x:v>PALAZZOLO DELLO STELLA</x:v>
      </x:c>
      <x:c r="K67" s="21" t="str">
        <x:v>DIRECT_NOMINAL</x:v>
      </x:c>
      <x:c r="L67" s="52" t="n">
        <x:v>78</x:v>
      </x:c>
      <x:c r="M67" s="21" t="str">
        <x:v>RAFVG_PDF_MUNICIPAL_TABLE</x:v>
      </x:c>
      <x:c r="N67" s="21" t="str">
        <x:v>https://www.consiglio.regione.fvg.it/cms/export/sites/consiglio/attivita/valutazione/Relazioni-informative/allegati/CV-LR-29-2005_V.pdf</x:v>
      </x:c>
      <x:c r="O67" s="21" t="str">
        <x:v>NOT_ZERO</x:v>
      </x:c>
      <x:c r="P67" s="21" t="str">
        <x:v>RAFVG_REGIONAL_TABLE_2023</x:v>
      </x:c>
    </x:row>
    <x:row r="68">
      <x:c r="A68" s="20" t="str">
        <x:v>030070</x:v>
      </x:c>
      <x:c r="B68" s="21" t="str">
        <x:v>Palmanova</x:v>
      </x:c>
      <x:c r="C68" s="21" t="str">
        <x:v>2023_Q4</x:v>
      </x:c>
      <x:c r="D68" s="24" t="n">
        <x:v>1532</x:v>
      </x:c>
      <x:c r="E68" s="24" t="n">
        <x:v>1936</x:v>
      </x:c>
      <x:c r="F68" s="24" t="n">
        <x:v>0</x:v>
      </x:c>
      <x:c r="G68" s="24" t="n">
        <x:v>0</x:v>
      </x:c>
      <x:c r="H68" s="24" t="n">
        <x:f>SUM(D68:G68)</x:f>
        <x:v>3468</x:v>
      </x:c>
      <x:c r="I68" s="21" t="str">
        <x:v>OBSERVED_POSITIVE</x:v>
      </x:c>
      <x:c r="J68" s="21" t="str">
        <x:v>PALMANOVA</x:v>
      </x:c>
      <x:c r="K68" s="21" t="str">
        <x:v>DIRECT_NOMINAL</x:v>
      </x:c>
      <x:c r="L68" s="52" t="n">
        <x:v>79</x:v>
      </x:c>
      <x:c r="M68" s="21" t="str">
        <x:v>RAFVG_PDF_MUNICIPAL_TABLE</x:v>
      </x:c>
      <x:c r="N68" s="21" t="str">
        <x:v>https://www.consiglio.regione.fvg.it/cms/export/sites/consiglio/attivita/valutazione/Relazioni-informative/allegati/CV-LR-29-2005_V.pdf</x:v>
      </x:c>
      <x:c r="O68" s="21" t="str">
        <x:v>NOT_ZERO</x:v>
      </x:c>
      <x:c r="P68" s="21" t="str">
        <x:v>RAFVG_REGIONAL_TABLE_2023</x:v>
      </x:c>
    </x:row>
    <x:row r="69">
      <x:c r="A69" s="20" t="str">
        <x:v>030071</x:v>
      </x:c>
      <x:c r="B69" s="21" t="str">
        <x:v>Paluzza</x:v>
      </x:c>
      <x:c r="C69" s="21" t="str">
        <x:v>2023_Q4</x:v>
      </x:c>
      <x:c r="D69" s="24" t="n">
        <x:v>0</x:v>
      </x:c>
      <x:c r="E69" s="24" t="n">
        <x:v>0</x:v>
      </x:c>
      <x:c r="F69" s="24" t="n">
        <x:v>0</x:v>
      </x:c>
      <x:c r="G69" s="24" t="n">
        <x:v>0</x:v>
      </x:c>
      <x:c r="H69" s="24" t="n">
        <x:f>SUM(D69:G69)</x:f>
        <x:v>0</x:v>
      </x:c>
      <x:c r="I69" s="21" t="str">
        <x:v>ZERO_REAL_SOURCE_TABLE</x:v>
      </x:c>
      <x:c r="J69" s="21" t="str">
        <x:v>PALUZZA</x:v>
      </x:c>
      <x:c r="K69" s="21" t="str">
        <x:v>DIRECT_NOMINAL</x:v>
      </x:c>
      <x:c r="L69" s="52" t="n">
        <x:v>79</x:v>
      </x:c>
      <x:c r="M69" s="21" t="str">
        <x:v>RAFVG_PDF_MUNICIPAL_TABLE</x:v>
      </x:c>
      <x:c r="N69" s="21" t="str">
        <x:v>https://www.consiglio.regione.fvg.it/cms/export/sites/consiglio/attivita/valutazione/Relazioni-informative/allegati/CV-LR-29-2005_V.pdf</x:v>
      </x:c>
      <x:c r="O69" s="21" t="str">
        <x:v>REGIONAL_TABLE</x:v>
      </x:c>
      <x:c r="P69" s="21" t="str">
        <x:v>RAFVG_REGIONAL_TABLE_2023</x:v>
      </x:c>
    </x:row>
    <x:row r="70">
      <x:c r="A70" s="20" t="str">
        <x:v>030072</x:v>
      </x:c>
      <x:c r="B70" s="21" t="str">
        <x:v>Pasian di Prato</x:v>
      </x:c>
      <x:c r="C70" s="21" t="str">
        <x:v>2023_Q4</x:v>
      </x:c>
      <x:c r="D70" s="24" t="n">
        <x:v>1299</x:v>
      </x:c>
      <x:c r="E70" s="24" t="n">
        <x:v>0</x:v>
      </x:c>
      <x:c r="F70" s="24" t="n">
        <x:v>0</x:v>
      </x:c>
      <x:c r="G70" s="24" t="n">
        <x:v>0</x:v>
      </x:c>
      <x:c r="H70" s="24" t="n">
        <x:f>SUM(D70:G70)</x:f>
        <x:v>1299</x:v>
      </x:c>
      <x:c r="I70" s="21" t="str">
        <x:v>OBSERVED_POSITIVE</x:v>
      </x:c>
      <x:c r="J70" s="21" t="str">
        <x:v>PASIAN DI PRATO</x:v>
      </x:c>
      <x:c r="K70" s="21" t="str">
        <x:v>DIRECT_NOMINAL</x:v>
      </x:c>
      <x:c r="L70" s="52" t="n">
        <x:v>79</x:v>
      </x:c>
      <x:c r="M70" s="21" t="str">
        <x:v>RAFVG_PDF_MUNICIPAL_TABLE</x:v>
      </x:c>
      <x:c r="N70" s="21" t="str">
        <x:v>https://www.consiglio.regione.fvg.it/cms/export/sites/consiglio/attivita/valutazione/Relazioni-informative/allegati/CV-LR-29-2005_V.pdf</x:v>
      </x:c>
      <x:c r="O70" s="21" t="str">
        <x:v>NOT_ZERO</x:v>
      </x:c>
      <x:c r="P70" s="21" t="str">
        <x:v>RAFVG_REGIONAL_TABLE_2023</x:v>
      </x:c>
    </x:row>
    <x:row r="71">
      <x:c r="A71" s="20" t="str">
        <x:v>030073</x:v>
      </x:c>
      <x:c r="B71" s="21" t="str">
        <x:v>Paularo</x:v>
      </x:c>
      <x:c r="C71" s="21" t="str">
        <x:v>2023_Q4</x:v>
      </x:c>
      <x:c r="D71" s="24" t="n">
        <x:v>0</x:v>
      </x:c>
      <x:c r="E71" s="24" t="n">
        <x:v>0</x:v>
      </x:c>
      <x:c r="F71" s="24" t="n">
        <x:v>0</x:v>
      </x:c>
      <x:c r="G71" s="24" t="n">
        <x:v>0</x:v>
      </x:c>
      <x:c r="H71" s="24" t="n">
        <x:f>SUM(D71:G71)</x:f>
        <x:v>0</x:v>
      </x:c>
      <x:c r="I71" s="21" t="str">
        <x:v>ZERO_REAL_SOURCE_TABLE</x:v>
      </x:c>
      <x:c r="J71" s="21" t="str">
        <x:v>PAULARO</x:v>
      </x:c>
      <x:c r="K71" s="21" t="str">
        <x:v>DIRECT_NOMINAL</x:v>
      </x:c>
      <x:c r="L71" s="52" t="n">
        <x:v>79</x:v>
      </x:c>
      <x:c r="M71" s="21" t="str">
        <x:v>RAFVG_PDF_MUNICIPAL_TABLE</x:v>
      </x:c>
      <x:c r="N71" s="21" t="str">
        <x:v>https://www.consiglio.regione.fvg.it/cms/export/sites/consiglio/attivita/valutazione/Relazioni-informative/allegati/CV-LR-29-2005_V.pdf</x:v>
      </x:c>
      <x:c r="O71" s="21" t="str">
        <x:v>REGIONAL_TABLE</x:v>
      </x:c>
      <x:c r="P71" s="21" t="str">
        <x:v>RAFVG_REGIONAL_TABLE_2023</x:v>
      </x:c>
    </x:row>
    <x:row r="72">
      <x:c r="A72" s="20" t="str">
        <x:v>030074</x:v>
      </x:c>
      <x:c r="B72" s="21" t="str">
        <x:v>Pavia di Udine</x:v>
      </x:c>
      <x:c r="C72" s="21" t="str">
        <x:v>2023_Q4</x:v>
      </x:c>
      <x:c r="D72" s="24" t="n">
        <x:v>3090</x:v>
      </x:c>
      <x:c r="E72" s="24" t="n">
        <x:v>2930</x:v>
      </x:c>
      <x:c r="F72" s="24" t="n">
        <x:v>0</x:v>
      </x:c>
      <x:c r="G72" s="24" t="n">
        <x:v>0</x:v>
      </x:c>
      <x:c r="H72" s="24" t="n">
        <x:f>SUM(D72:G72)</x:f>
        <x:v>6020</x:v>
      </x:c>
      <x:c r="I72" s="21" t="str">
        <x:v>OBSERVED_POSITIVE</x:v>
      </x:c>
      <x:c r="J72" s="21" t="str">
        <x:v>PAVIA DI UDINE</x:v>
      </x:c>
      <x:c r="K72" s="21" t="str">
        <x:v>DIRECT_NOMINAL</x:v>
      </x:c>
      <x:c r="L72" s="52" t="n">
        <x:v>80</x:v>
      </x:c>
      <x:c r="M72" s="21" t="str">
        <x:v>RAFVG_PDF_MUNICIPAL_TABLE</x:v>
      </x:c>
      <x:c r="N72" s="21" t="str">
        <x:v>https://www.consiglio.regione.fvg.it/cms/export/sites/consiglio/attivita/valutazione/Relazioni-informative/allegati/CV-LR-29-2005_V.pdf</x:v>
      </x:c>
      <x:c r="O72" s="21" t="str">
        <x:v>NOT_ZERO</x:v>
      </x:c>
      <x:c r="P72" s="21" t="str">
        <x:v>RAFVG_REGIONAL_TABLE_2023</x:v>
      </x:c>
    </x:row>
    <x:row r="73">
      <x:c r="A73" s="20" t="str">
        <x:v>030075</x:v>
      </x:c>
      <x:c r="B73" s="21" t="str">
        <x:v>Pocenia</x:v>
      </x:c>
      <x:c r="C73" s="21" t="str">
        <x:v>2023_Q4</x:v>
      </x:c>
      <x:c r="D73" s="24" t="n">
        <x:v>0</x:v>
      </x:c>
      <x:c r="E73" s="24" t="n">
        <x:v>6190</x:v>
      </x:c>
      <x:c r="F73" s="24" t="n">
        <x:v>0</x:v>
      </x:c>
      <x:c r="G73" s="24" t="n">
        <x:v>0</x:v>
      </x:c>
      <x:c r="H73" s="24" t="n">
        <x:f>SUM(D73:G73)</x:f>
        <x:v>6190</x:v>
      </x:c>
      <x:c r="I73" s="21" t="str">
        <x:v>OBSERVED_POSITIVE</x:v>
      </x:c>
      <x:c r="J73" s="21" t="str">
        <x:v>POCENIA</x:v>
      </x:c>
      <x:c r="K73" s="21" t="str">
        <x:v>DIRECT_NOMINAL</x:v>
      </x:c>
      <x:c r="L73" s="52" t="n">
        <x:v>80</x:v>
      </x:c>
      <x:c r="M73" s="21" t="str">
        <x:v>RAFVG_PDF_MUNICIPAL_TABLE</x:v>
      </x:c>
      <x:c r="N73" s="21" t="str">
        <x:v>https://www.consiglio.regione.fvg.it/cms/export/sites/consiglio/attivita/valutazione/Relazioni-informative/allegati/CV-LR-29-2005_V.pdf</x:v>
      </x:c>
      <x:c r="O73" s="21" t="str">
        <x:v>NOT_ZERO</x:v>
      </x:c>
      <x:c r="P73" s="21" t="str">
        <x:v>RAFVG_REGIONAL_TABLE_2023</x:v>
      </x:c>
    </x:row>
    <x:row r="74">
      <x:c r="A74" s="20" t="str">
        <x:v>030076</x:v>
      </x:c>
      <x:c r="B74" s="21" t="str">
        <x:v>Pontebba</x:v>
      </x:c>
      <x:c r="C74" s="21" t="str">
        <x:v>2023_Q4</x:v>
      </x:c>
      <x:c r="D74" s="24" t="n">
        <x:v>0</x:v>
      </x:c>
      <x:c r="E74" s="24" t="n">
        <x:v>0</x:v>
      </x:c>
      <x:c r="F74" s="24" t="n">
        <x:v>0</x:v>
      </x:c>
      <x:c r="G74" s="24" t="n">
        <x:v>0</x:v>
      </x:c>
      <x:c r="H74" s="24" t="n">
        <x:f>SUM(D74:G74)</x:f>
        <x:v>0</x:v>
      </x:c>
      <x:c r="I74" s="21" t="str">
        <x:v>ZERO_REAL_SOURCE_TABLE</x:v>
      </x:c>
      <x:c r="J74" s="21" t="str">
        <x:v>PONTEBBA</x:v>
      </x:c>
      <x:c r="K74" s="21" t="str">
        <x:v>DIRECT_NOMINAL</x:v>
      </x:c>
      <x:c r="L74" s="52" t="n">
        <x:v>80</x:v>
      </x:c>
      <x:c r="M74" s="21" t="str">
        <x:v>RAFVG_PDF_MUNICIPAL_TABLE</x:v>
      </x:c>
      <x:c r="N74" s="21" t="str">
        <x:v>https://www.consiglio.regione.fvg.it/cms/export/sites/consiglio/attivita/valutazione/Relazioni-informative/allegati/CV-LR-29-2005_V.pdf</x:v>
      </x:c>
      <x:c r="O74" s="21" t="str">
        <x:v>REGIONAL_TABLE</x:v>
      </x:c>
      <x:c r="P74" s="21" t="str">
        <x:v>RAFVG_REGIONAL_TABLE_2023</x:v>
      </x:c>
    </x:row>
    <x:row r="75">
      <x:c r="A75" s="20" t="str">
        <x:v>030077</x:v>
      </x:c>
      <x:c r="B75" s="21" t="str">
        <x:v>Porpetto</x:v>
      </x:c>
      <x:c r="C75" s="21" t="str">
        <x:v>2023_Q4</x:v>
      </x:c>
      <x:c r="D75" s="24" t="n">
        <x:v>0</x:v>
      </x:c>
      <x:c r="E75" s="24" t="n">
        <x:v>0</x:v>
      </x:c>
      <x:c r="F75" s="24" t="n">
        <x:v>0</x:v>
      </x:c>
      <x:c r="G75" s="24" t="n">
        <x:v>3588.76</x:v>
      </x:c>
      <x:c r="H75" s="24" t="n">
        <x:f>SUM(D75:G75)</x:f>
        <x:v>3588.76</x:v>
      </x:c>
      <x:c r="I75" s="21" t="str">
        <x:v>OBSERVED_POSITIVE</x:v>
      </x:c>
      <x:c r="J75" s="21" t="str">
        <x:v>PORPETTO</x:v>
      </x:c>
      <x:c r="K75" s="21" t="str">
        <x:v>DIRECT_NOMINAL</x:v>
      </x:c>
      <x:c r="L75" s="52" t="n">
        <x:v>80</x:v>
      </x:c>
      <x:c r="M75" s="21" t="str">
        <x:v>RAFVG_PDF_MUNICIPAL_TABLE</x:v>
      </x:c>
      <x:c r="N75" s="21" t="str">
        <x:v>https://www.consiglio.regione.fvg.it/cms/export/sites/consiglio/attivita/valutazione/Relazioni-informative/allegati/CV-LR-29-2005_V.pdf</x:v>
      </x:c>
      <x:c r="O75" s="21" t="str">
        <x:v>NOT_ZERO</x:v>
      </x:c>
      <x:c r="P75" s="21" t="str">
        <x:v>RAFVG_REGIONAL_TABLE_2023</x:v>
      </x:c>
    </x:row>
    <x:row r="76">
      <x:c r="A76" s="20" t="str">
        <x:v>030078</x:v>
      </x:c>
      <x:c r="B76" s="21" t="str">
        <x:v>Povoletto</x:v>
      </x:c>
      <x:c r="C76" s="21" t="str">
        <x:v>2023_Q4</x:v>
      </x:c>
      <x:c r="D76" s="24" t="n">
        <x:v>2845</x:v>
      </x:c>
      <x:c r="E76" s="24" t="n">
        <x:v>0</x:v>
      </x:c>
      <x:c r="F76" s="24" t="n">
        <x:v>0</x:v>
      </x:c>
      <x:c r="G76" s="24" t="n">
        <x:v>0</x:v>
      </x:c>
      <x:c r="H76" s="24" t="n">
        <x:f>SUM(D76:G76)</x:f>
        <x:v>2845</x:v>
      </x:c>
      <x:c r="I76" s="21" t="str">
        <x:v>OBSERVED_POSITIVE</x:v>
      </x:c>
      <x:c r="J76" s="21" t="str">
        <x:v>POVOLETTO</x:v>
      </x:c>
      <x:c r="K76" s="21" t="str">
        <x:v>DIRECT_NOMINAL</x:v>
      </x:c>
      <x:c r="L76" s="52" t="n">
        <x:v>80</x:v>
      </x:c>
      <x:c r="M76" s="21" t="str">
        <x:v>RAFVG_PDF_MUNICIPAL_TABLE</x:v>
      </x:c>
      <x:c r="N76" s="21" t="str">
        <x:v>https://www.consiglio.regione.fvg.it/cms/export/sites/consiglio/attivita/valutazione/Relazioni-informative/allegati/CV-LR-29-2005_V.pdf</x:v>
      </x:c>
      <x:c r="O76" s="21" t="str">
        <x:v>NOT_ZERO</x:v>
      </x:c>
      <x:c r="P76" s="21" t="str">
        <x:v>RAFVG_REGIONAL_TABLE_2023</x:v>
      </x:c>
    </x:row>
    <x:row r="77">
      <x:c r="A77" s="20" t="str">
        <x:v>030079</x:v>
      </x:c>
      <x:c r="B77" s="21" t="str">
        <x:v>Pozzuolo del Friuli</x:v>
      </x:c>
      <x:c r="C77" s="21" t="str">
        <x:v>2023_Q4</x:v>
      </x:c>
      <x:c r="D77" s="24" t="n">
        <x:v>639</x:v>
      </x:c>
      <x:c r="E77" s="24" t="n">
        <x:v>0</x:v>
      </x:c>
      <x:c r="F77" s="24" t="n">
        <x:v>30000</x:v>
      </x:c>
      <x:c r="G77" s="24" t="n">
        <x:v>6930</x:v>
      </x:c>
      <x:c r="H77" s="24" t="n">
        <x:f>SUM(D77:G77)</x:f>
        <x:v>37569</x:v>
      </x:c>
      <x:c r="I77" s="21" t="str">
        <x:v>OBSERVED_POSITIVE</x:v>
      </x:c>
      <x:c r="J77" s="21" t="str">
        <x:v>POZZUOLO DEL FRIULI</x:v>
      </x:c>
      <x:c r="K77" s="21" t="str">
        <x:v>DIRECT_NOMINAL</x:v>
      </x:c>
      <x:c r="L77" s="52" t="n">
        <x:v>81</x:v>
      </x:c>
      <x:c r="M77" s="21" t="str">
        <x:v>RAFVG_PDF_MUNICIPAL_TABLE</x:v>
      </x:c>
      <x:c r="N77" s="21" t="str">
        <x:v>https://www.consiglio.regione.fvg.it/cms/export/sites/consiglio/attivita/valutazione/Relazioni-informative/allegati/CV-LR-29-2005_V.pdf</x:v>
      </x:c>
      <x:c r="O77" s="21" t="str">
        <x:v>NOT_ZERO</x:v>
      </x:c>
      <x:c r="P77" s="21" t="str">
        <x:v>RAFVG_REGIONAL_TABLE_2023</x:v>
      </x:c>
    </x:row>
    <x:row r="78">
      <x:c r="A78" s="20" t="str">
        <x:v>030080</x:v>
      </x:c>
      <x:c r="B78" s="21" t="str">
        <x:v>Pradamano</x:v>
      </x:c>
      <x:c r="C78" s="21" t="str">
        <x:v>2023_Q4</x:v>
      </x:c>
      <x:c r="D78" s="24" t="n">
        <x:v>2784.94</x:v>
      </x:c>
      <x:c r="E78" s="24" t="n">
        <x:v>5950</x:v>
      </x:c>
      <x:c r="F78" s="24" t="n">
        <x:v>18000</x:v>
      </x:c>
      <x:c r="G78" s="24" t="n">
        <x:v>6774.23</x:v>
      </x:c>
      <x:c r="H78" s="24" t="n">
        <x:f>SUM(D78:G78)</x:f>
        <x:v>33509.17</x:v>
      </x:c>
      <x:c r="I78" s="21" t="str">
        <x:v>OBSERVED_POSITIVE</x:v>
      </x:c>
      <x:c r="J78" s="21" t="str">
        <x:v>PRADAMANO</x:v>
      </x:c>
      <x:c r="K78" s="21" t="str">
        <x:v>DIRECT_NOMINAL</x:v>
      </x:c>
      <x:c r="L78" s="52" t="n">
        <x:v>81</x:v>
      </x:c>
      <x:c r="M78" s="21" t="str">
        <x:v>RAFVG_PDF_MUNICIPAL_TABLE</x:v>
      </x:c>
      <x:c r="N78" s="21" t="str">
        <x:v>https://www.consiglio.regione.fvg.it/cms/export/sites/consiglio/attivita/valutazione/Relazioni-informative/allegati/CV-LR-29-2005_V.pdf</x:v>
      </x:c>
      <x:c r="O78" s="21" t="str">
        <x:v>NOT_ZERO</x:v>
      </x:c>
      <x:c r="P78" s="21" t="str">
        <x:v>RAFVG_REGIONAL_TABLE_2023</x:v>
      </x:c>
    </x:row>
    <x:row r="79">
      <x:c r="A79" s="20" t="str">
        <x:v>030081</x:v>
      </x:c>
      <x:c r="B79" s="21" t="str">
        <x:v>Prato Carnico</x:v>
      </x:c>
      <x:c r="C79" s="21" t="str">
        <x:v>2023_Q4</x:v>
      </x:c>
      <x:c r="D79" s="24" t="n">
        <x:v>0</x:v>
      </x:c>
      <x:c r="E79" s="24" t="n">
        <x:v>0</x:v>
      </x:c>
      <x:c r="F79" s="24" t="n">
        <x:v>0</x:v>
      </x:c>
      <x:c r="G79" s="24" t="n">
        <x:v>0</x:v>
      </x:c>
      <x:c r="H79" s="24" t="n">
        <x:f>SUM(D79:G79)</x:f>
        <x:v>0</x:v>
      </x:c>
      <x:c r="I79" s="21" t="str">
        <x:v>ZERO_REAL_SOURCE_TABLE</x:v>
      </x:c>
      <x:c r="J79" s="21" t="str">
        <x:v>PRATO CARNICO</x:v>
      </x:c>
      <x:c r="K79" s="21" t="str">
        <x:v>DIRECT_NOMINAL</x:v>
      </x:c>
      <x:c r="L79" s="52" t="n">
        <x:v>81</x:v>
      </x:c>
      <x:c r="M79" s="21" t="str">
        <x:v>RAFVG_PDF_MUNICIPAL_TABLE</x:v>
      </x:c>
      <x:c r="N79" s="21" t="str">
        <x:v>https://www.consiglio.regione.fvg.it/cms/export/sites/consiglio/attivita/valutazione/Relazioni-informative/allegati/CV-LR-29-2005_V.pdf</x:v>
      </x:c>
      <x:c r="O79" s="21" t="str">
        <x:v>REGIONAL_TABLE</x:v>
      </x:c>
      <x:c r="P79" s="21" t="str">
        <x:v>RAFVG_REGIONAL_TABLE_2023</x:v>
      </x:c>
    </x:row>
    <x:row r="80">
      <x:c r="A80" s="20" t="str">
        <x:v>030082</x:v>
      </x:c>
      <x:c r="B80" s="21" t="str">
        <x:v>Precenicco</x:v>
      </x:c>
      <x:c r="C80" s="21" t="str">
        <x:v>2023_Q4</x:v>
      </x:c>
      <x:c r="D80" s="24" t="n">
        <x:v>1676.5</x:v>
      </x:c>
      <x:c r="E80" s="24" t="n">
        <x:v>0</x:v>
      </x:c>
      <x:c r="F80" s="24" t="n">
        <x:v>0</x:v>
      </x:c>
      <x:c r="G80" s="24" t="n">
        <x:v>0</x:v>
      </x:c>
      <x:c r="H80" s="24" t="n">
        <x:f>SUM(D80:G80)</x:f>
        <x:v>1676.5</x:v>
      </x:c>
      <x:c r="I80" s="21" t="str">
        <x:v>OBSERVED_POSITIVE</x:v>
      </x:c>
      <x:c r="J80" s="21" t="str">
        <x:v>PRECENICCO</x:v>
      </x:c>
      <x:c r="K80" s="21" t="str">
        <x:v>DIRECT_NOMINAL</x:v>
      </x:c>
      <x:c r="L80" s="52" t="n">
        <x:v>81</x:v>
      </x:c>
      <x:c r="M80" s="21" t="str">
        <x:v>RAFVG_PDF_MUNICIPAL_TABLE</x:v>
      </x:c>
      <x:c r="N80" s="21" t="str">
        <x:v>https://www.consiglio.regione.fvg.it/cms/export/sites/consiglio/attivita/valutazione/Relazioni-informative/allegati/CV-LR-29-2005_V.pdf</x:v>
      </x:c>
      <x:c r="O80" s="21" t="str">
        <x:v>NOT_ZERO</x:v>
      </x:c>
      <x:c r="P80" s="21" t="str">
        <x:v>RAFVG_REGIONAL_TABLE_2023</x:v>
      </x:c>
    </x:row>
    <x:row r="81">
      <x:c r="A81" s="20" t="str">
        <x:v>030083</x:v>
      </x:c>
      <x:c r="B81" s="21" t="str">
        <x:v>Premariacco</x:v>
      </x:c>
      <x:c r="C81" s="21" t="str">
        <x:v>2023_Q4</x:v>
      </x:c>
      <x:c r="D81" s="24" t="n">
        <x:v>675</x:v>
      </x:c>
      <x:c r="E81" s="24" t="n">
        <x:v>0</x:v>
      </x:c>
      <x:c r="F81" s="24" t="n">
        <x:v>0</x:v>
      </x:c>
      <x:c r="G81" s="24" t="n">
        <x:v>0</x:v>
      </x:c>
      <x:c r="H81" s="24" t="n">
        <x:f>SUM(D81:G81)</x:f>
        <x:v>675</x:v>
      </x:c>
      <x:c r="I81" s="21" t="str">
        <x:v>OBSERVED_POSITIVE</x:v>
      </x:c>
      <x:c r="J81" s="21" t="str">
        <x:v>PREMARIACCO</x:v>
      </x:c>
      <x:c r="K81" s="21" t="str">
        <x:v>DIRECT_NOMINAL</x:v>
      </x:c>
      <x:c r="L81" s="52" t="n">
        <x:v>82</x:v>
      </x:c>
      <x:c r="M81" s="21" t="str">
        <x:v>RAFVG_PDF_MUNICIPAL_TABLE</x:v>
      </x:c>
      <x:c r="N81" s="21" t="str">
        <x:v>https://www.consiglio.regione.fvg.it/cms/export/sites/consiglio/attivita/valutazione/Relazioni-informative/allegati/CV-LR-29-2005_V.pdf</x:v>
      </x:c>
      <x:c r="O81" s="21" t="str">
        <x:v>NOT_ZERO</x:v>
      </x:c>
      <x:c r="P81" s="21" t="str">
        <x:v>RAFVG_REGIONAL_TABLE_2023</x:v>
      </x:c>
    </x:row>
    <x:row r="82">
      <x:c r="A82" s="20" t="str">
        <x:v>030084</x:v>
      </x:c>
      <x:c r="B82" s="21" t="str">
        <x:v>Preone</x:v>
      </x:c>
      <x:c r="C82" s="21" t="str">
        <x:v>2023_Q4</x:v>
      </x:c>
      <x:c r="D82" s="24" t="n">
        <x:v>0</x:v>
      </x:c>
      <x:c r="E82" s="24" t="n">
        <x:v>0</x:v>
      </x:c>
      <x:c r="F82" s="24" t="n">
        <x:v>0</x:v>
      </x:c>
      <x:c r="G82" s="24" t="n">
        <x:v>0</x:v>
      </x:c>
      <x:c r="H82" s="24" t="n">
        <x:f>SUM(D82:G82)</x:f>
        <x:v>0</x:v>
      </x:c>
      <x:c r="I82" s="21" t="str">
        <x:v>ZERO_REAL_SOURCE_TABLE</x:v>
      </x:c>
      <x:c r="J82" s="21" t="str">
        <x:v>PREONE</x:v>
      </x:c>
      <x:c r="K82" s="21" t="str">
        <x:v>DIRECT_NOMINAL</x:v>
      </x:c>
      <x:c r="L82" s="52" t="n">
        <x:v>82</x:v>
      </x:c>
      <x:c r="M82" s="21" t="str">
        <x:v>RAFVG_PDF_MUNICIPAL_TABLE</x:v>
      </x:c>
      <x:c r="N82" s="21" t="str">
        <x:v>https://www.consiglio.regione.fvg.it/cms/export/sites/consiglio/attivita/valutazione/Relazioni-informative/allegati/CV-LR-29-2005_V.pdf</x:v>
      </x:c>
      <x:c r="O82" s="21" t="str">
        <x:v>REGIONAL_TABLE</x:v>
      </x:c>
      <x:c r="P82" s="21" t="str">
        <x:v>RAFVG_REGIONAL_TABLE_2023</x:v>
      </x:c>
    </x:row>
    <x:row r="83">
      <x:c r="A83" s="20" t="str">
        <x:v>030085</x:v>
      </x:c>
      <x:c r="B83" s="21" t="str">
        <x:v>Prepotto</x:v>
      </x:c>
      <x:c r="C83" s="21" t="str">
        <x:v>2023_Q4</x:v>
      </x:c>
      <x:c r="D83" s="24" t="n">
        <x:v>0</x:v>
      </x:c>
      <x:c r="E83" s="24" t="n">
        <x:v>0</x:v>
      </x:c>
      <x:c r="F83" s="24" t="n">
        <x:v>0</x:v>
      </x:c>
      <x:c r="G83" s="24" t="n">
        <x:v>0</x:v>
      </x:c>
      <x:c r="H83" s="24" t="n">
        <x:f>SUM(D83:G83)</x:f>
        <x:v>0</x:v>
      </x:c>
      <x:c r="I83" s="21" t="str">
        <x:v>ZERO_REAL_SOURCE_TABLE</x:v>
      </x:c>
      <x:c r="J83" s="21" t="str">
        <x:v>PREPOTTO</x:v>
      </x:c>
      <x:c r="K83" s="21" t="str">
        <x:v>DIRECT_NOMINAL</x:v>
      </x:c>
      <x:c r="L83" s="52" t="n">
        <x:v>82</x:v>
      </x:c>
      <x:c r="M83" s="21" t="str">
        <x:v>RAFVG_PDF_MUNICIPAL_TABLE</x:v>
      </x:c>
      <x:c r="N83" s="21" t="str">
        <x:v>https://www.consiglio.regione.fvg.it/cms/export/sites/consiglio/attivita/valutazione/Relazioni-informative/allegati/CV-LR-29-2005_V.pdf</x:v>
      </x:c>
      <x:c r="O83" s="21" t="str">
        <x:v>REGIONAL_TABLE</x:v>
      </x:c>
      <x:c r="P83" s="21" t="str">
        <x:v>RAFVG_REGIONAL_TABLE_2023</x:v>
      </x:c>
    </x:row>
    <x:row r="84">
      <x:c r="A84" s="20" t="str">
        <x:v>030086</x:v>
      </x:c>
      <x:c r="B84" s="21" t="str">
        <x:v>Pulfero</x:v>
      </x:c>
      <x:c r="C84" s="21" t="str">
        <x:v>2023_Q4</x:v>
      </x:c>
      <x:c r="D84" s="24" t="n">
        <x:v>0</x:v>
      </x:c>
      <x:c r="E84" s="24" t="n">
        <x:v>0</x:v>
      </x:c>
      <x:c r="F84" s="24" t="n">
        <x:v>0</x:v>
      </x:c>
      <x:c r="G84" s="24" t="n">
        <x:v>0</x:v>
      </x:c>
      <x:c r="H84" s="24" t="n">
        <x:f>SUM(D84:G84)</x:f>
        <x:v>0</x:v>
      </x:c>
      <x:c r="I84" s="21" t="str">
        <x:v>ZERO_REAL_SOURCE_TABLE</x:v>
      </x:c>
      <x:c r="J84" s="21" t="str">
        <x:v>PULFERO</x:v>
      </x:c>
      <x:c r="K84" s="21" t="str">
        <x:v>DIRECT_NOMINAL</x:v>
      </x:c>
      <x:c r="L84" s="52" t="n">
        <x:v>82</x:v>
      </x:c>
      <x:c r="M84" s="21" t="str">
        <x:v>RAFVG_PDF_MUNICIPAL_TABLE</x:v>
      </x:c>
      <x:c r="N84" s="21" t="str">
        <x:v>https://www.consiglio.regione.fvg.it/cms/export/sites/consiglio/attivita/valutazione/Relazioni-informative/allegati/CV-LR-29-2005_V.pdf</x:v>
      </x:c>
      <x:c r="O84" s="21" t="str">
        <x:v>REGIONAL_TABLE</x:v>
      </x:c>
      <x:c r="P84" s="21" t="str">
        <x:v>RAFVG_REGIONAL_TABLE_2023</x:v>
      </x:c>
    </x:row>
    <x:row r="85">
      <x:c r="A85" s="20" t="str">
        <x:v>030087</x:v>
      </x:c>
      <x:c r="B85" s="21" t="str">
        <x:v>Ragogna</x:v>
      </x:c>
      <x:c r="C85" s="21" t="str">
        <x:v>2023_Q4</x:v>
      </x:c>
      <x:c r="D85" s="24" t="n">
        <x:v>0</x:v>
      </x:c>
      <x:c r="E85" s="24" t="n">
        <x:v>0</x:v>
      </x:c>
      <x:c r="F85" s="24" t="n">
        <x:v>0</x:v>
      </x:c>
      <x:c r="G85" s="24" t="n">
        <x:v>0</x:v>
      </x:c>
      <x:c r="H85" s="24" t="n">
        <x:f>SUM(D85:G85)</x:f>
        <x:v>0</x:v>
      </x:c>
      <x:c r="I85" s="21" t="str">
        <x:v>ZERO_REAL_SOURCE_TABLE</x:v>
      </x:c>
      <x:c r="J85" s="21" t="str">
        <x:v>RAGOGNA</x:v>
      </x:c>
      <x:c r="K85" s="21" t="str">
        <x:v>DIRECT_NOMINAL</x:v>
      </x:c>
      <x:c r="L85" s="52" t="n">
        <x:v>82</x:v>
      </x:c>
      <x:c r="M85" s="21" t="str">
        <x:v>RAFVG_PDF_MUNICIPAL_TABLE</x:v>
      </x:c>
      <x:c r="N85" s="21" t="str">
        <x:v>https://www.consiglio.regione.fvg.it/cms/export/sites/consiglio/attivita/valutazione/Relazioni-informative/allegati/CV-LR-29-2005_V.pdf</x:v>
      </x:c>
      <x:c r="O85" s="21" t="str">
        <x:v>REGIONAL_TABLE</x:v>
      </x:c>
      <x:c r="P85" s="21" t="str">
        <x:v>RAFVG_REGIONAL_TABLE_2023</x:v>
      </x:c>
    </x:row>
    <x:row r="86">
      <x:c r="A86" s="20" t="str">
        <x:v>030088</x:v>
      </x:c>
      <x:c r="B86" s="21" t="str">
        <x:v>Ravascletto</x:v>
      </x:c>
      <x:c r="C86" s="21" t="str">
        <x:v>2023_Q4</x:v>
      </x:c>
      <x:c r="D86" s="24" t="n">
        <x:v>0</x:v>
      </x:c>
      <x:c r="E86" s="24" t="n">
        <x:v>0</x:v>
      </x:c>
      <x:c r="F86" s="24" t="n">
        <x:v>0</x:v>
      </x:c>
      <x:c r="G86" s="24" t="n">
        <x:v>0</x:v>
      </x:c>
      <x:c r="H86" s="24" t="n">
        <x:f>SUM(D86:G86)</x:f>
        <x:v>0</x:v>
      </x:c>
      <x:c r="I86" s="21" t="str">
        <x:v>ZERO_REAL_SOURCE_TABLE</x:v>
      </x:c>
      <x:c r="J86" s="21" t="str">
        <x:v>RAVASCLETTO</x:v>
      </x:c>
      <x:c r="K86" s="21" t="str">
        <x:v>DIRECT_NOMINAL</x:v>
      </x:c>
      <x:c r="L86" s="52" t="n">
        <x:v>83</x:v>
      </x:c>
      <x:c r="M86" s="21" t="str">
        <x:v>RAFVG_PDF_MUNICIPAL_TABLE</x:v>
      </x:c>
      <x:c r="N86" s="21" t="str">
        <x:v>https://www.consiglio.regione.fvg.it/cms/export/sites/consiglio/attivita/valutazione/Relazioni-informative/allegati/CV-LR-29-2005_V.pdf</x:v>
      </x:c>
      <x:c r="O86" s="21" t="str">
        <x:v>REGIONAL_TABLE</x:v>
      </x:c>
      <x:c r="P86" s="21" t="str">
        <x:v>RAFVG_REGIONAL_TABLE_2023</x:v>
      </x:c>
    </x:row>
    <x:row r="87">
      <x:c r="A87" s="20" t="str">
        <x:v>030089</x:v>
      </x:c>
      <x:c r="B87" s="21" t="str">
        <x:v>Raveo</x:v>
      </x:c>
      <x:c r="C87" s="21" t="str">
        <x:v>2023_Q4</x:v>
      </x:c>
      <x:c r="D87" s="24" t="n">
        <x:v>0</x:v>
      </x:c>
      <x:c r="E87" s="24" t="n">
        <x:v>0</x:v>
      </x:c>
      <x:c r="F87" s="24" t="n">
        <x:v>0</x:v>
      </x:c>
      <x:c r="G87" s="24" t="n">
        <x:v>0</x:v>
      </x:c>
      <x:c r="H87" s="24" t="n">
        <x:f>SUM(D87:G87)</x:f>
        <x:v>0</x:v>
      </x:c>
      <x:c r="I87" s="21" t="str">
        <x:v>ZERO_REAL_SOURCE_TABLE</x:v>
      </x:c>
      <x:c r="J87" s="21" t="str">
        <x:v>RAVEO</x:v>
      </x:c>
      <x:c r="K87" s="21" t="str">
        <x:v>DIRECT_NOMINAL</x:v>
      </x:c>
      <x:c r="L87" s="52" t="n">
        <x:v>83</x:v>
      </x:c>
      <x:c r="M87" s="21" t="str">
        <x:v>RAFVG_PDF_MUNICIPAL_TABLE</x:v>
      </x:c>
      <x:c r="N87" s="21" t="str">
        <x:v>https://www.consiglio.regione.fvg.it/cms/export/sites/consiglio/attivita/valutazione/Relazioni-informative/allegati/CV-LR-29-2005_V.pdf</x:v>
      </x:c>
      <x:c r="O87" s="21" t="str">
        <x:v>REGIONAL_TABLE</x:v>
      </x:c>
      <x:c r="P87" s="21" t="str">
        <x:v>RAFVG_REGIONAL_TABLE_2023</x:v>
      </x:c>
    </x:row>
    <x:row r="88">
      <x:c r="A88" s="20" t="str">
        <x:v>030090</x:v>
      </x:c>
      <x:c r="B88" s="21" t="str">
        <x:v>Reana del Rojale</x:v>
      </x:c>
      <x:c r="C88" s="21" t="str">
        <x:v>2023_Q4</x:v>
      </x:c>
      <x:c r="D88" s="24" t="n">
        <x:v>3770.29</x:v>
      </x:c>
      <x:c r="E88" s="24" t="n">
        <x:v>20735.6</x:v>
      </x:c>
      <x:c r="F88" s="24" t="n">
        <x:v>0</x:v>
      </x:c>
      <x:c r="G88" s="24" t="n">
        <x:v>34706</x:v>
      </x:c>
      <x:c r="H88" s="24" t="n">
        <x:f>SUM(D88:G88)</x:f>
        <x:v>59211.89</x:v>
      </x:c>
      <x:c r="I88" s="21" t="str">
        <x:v>OBSERVED_POSITIVE</x:v>
      </x:c>
      <x:c r="J88" s="21" t="str">
        <x:v>REANA DEL ROIALE</x:v>
      </x:c>
      <x:c r="K88" s="21" t="str">
        <x:v>ALIAS_DETERMINISTIC</x:v>
      </x:c>
      <x:c r="L88" s="52" t="n">
        <x:v>83</x:v>
      </x:c>
      <x:c r="M88" s="21" t="str">
        <x:v>RAFVG_PDF_MUNICIPAL_TABLE</x:v>
      </x:c>
      <x:c r="N88" s="21" t="str">
        <x:v>https://www.consiglio.regione.fvg.it/cms/export/sites/consiglio/attivita/valutazione/Relazioni-informative/allegati/CV-LR-29-2005_V.pdf</x:v>
      </x:c>
      <x:c r="O88" s="21" t="str">
        <x:v>NOT_ZERO</x:v>
      </x:c>
      <x:c r="P88" s="21" t="str">
        <x:v>RAFVG_REGIONAL_TABLE_2023</x:v>
      </x:c>
    </x:row>
    <x:row r="89">
      <x:c r="A89" s="20" t="str">
        <x:v>030091</x:v>
      </x:c>
      <x:c r="B89" s="21" t="str">
        <x:v>Remanzacco</x:v>
      </x:c>
      <x:c r="C89" s="21" t="str">
        <x:v>2023_Q4</x:v>
      </x:c>
      <x:c r="D89" s="24" t="n">
        <x:v>2558.58</x:v>
      </x:c>
      <x:c r="E89" s="24" t="n">
        <x:v>6688</x:v>
      </x:c>
      <x:c r="F89" s="24" t="n">
        <x:v>0</x:v>
      </x:c>
      <x:c r="G89" s="24" t="n">
        <x:v>3592</x:v>
      </x:c>
      <x:c r="H89" s="24" t="n">
        <x:f>SUM(D89:G89)</x:f>
        <x:v>12838.58</x:v>
      </x:c>
      <x:c r="I89" s="21" t="str">
        <x:v>OBSERVED_POSITIVE</x:v>
      </x:c>
      <x:c r="J89" s="21" t="str">
        <x:v>REMANZACCO</x:v>
      </x:c>
      <x:c r="K89" s="21" t="str">
        <x:v>DIRECT_NOMINAL</x:v>
      </x:c>
      <x:c r="L89" s="52" t="n">
        <x:v>83</x:v>
      </x:c>
      <x:c r="M89" s="21" t="str">
        <x:v>RAFVG_PDF_MUNICIPAL_TABLE</x:v>
      </x:c>
      <x:c r="N89" s="21" t="str">
        <x:v>https://www.consiglio.regione.fvg.it/cms/export/sites/consiglio/attivita/valutazione/Relazioni-informative/allegati/CV-LR-29-2005_V.pdf</x:v>
      </x:c>
      <x:c r="O89" s="21" t="str">
        <x:v>NOT_ZERO</x:v>
      </x:c>
      <x:c r="P89" s="21" t="str">
        <x:v>RAFVG_REGIONAL_TABLE_2023</x:v>
      </x:c>
    </x:row>
    <x:row r="90">
      <x:c r="A90" s="20" t="str">
        <x:v>030092</x:v>
      </x:c>
      <x:c r="B90" s="21" t="str">
        <x:v>Resia</x:v>
      </x:c>
      <x:c r="C90" s="21" t="str">
        <x:v>2023_Q4</x:v>
      </x:c>
      <x:c r="D90" s="24" t="n">
        <x:v>0</x:v>
      </x:c>
      <x:c r="E90" s="24" t="n">
        <x:v>0</x:v>
      </x:c>
      <x:c r="F90" s="24" t="n">
        <x:v>0</x:v>
      </x:c>
      <x:c r="G90" s="24" t="n">
        <x:v>0</x:v>
      </x:c>
      <x:c r="H90" s="24" t="n">
        <x:f>SUM(D90:G90)</x:f>
        <x:v>0</x:v>
      </x:c>
      <x:c r="I90" s="21" t="str">
        <x:v>ZERO_REAL_SOURCE_TABLE</x:v>
      </x:c>
      <x:c r="J90" s="21" t="str">
        <x:v>RESIA</x:v>
      </x:c>
      <x:c r="K90" s="21" t="str">
        <x:v>DIRECT_NOMINAL</x:v>
      </x:c>
      <x:c r="L90" s="52" t="n">
        <x:v>84</x:v>
      </x:c>
      <x:c r="M90" s="21" t="str">
        <x:v>RAFVG_PDF_MUNICIPAL_TABLE</x:v>
      </x:c>
      <x:c r="N90" s="21" t="str">
        <x:v>https://www.consiglio.regione.fvg.it/cms/export/sites/consiglio/attivita/valutazione/Relazioni-informative/allegati/CV-LR-29-2005_V.pdf</x:v>
      </x:c>
      <x:c r="O90" s="21" t="str">
        <x:v>REGIONAL_TABLE</x:v>
      </x:c>
      <x:c r="P90" s="21" t="str">
        <x:v>RAFVG_REGIONAL_TABLE_2023</x:v>
      </x:c>
    </x:row>
    <x:row r="91">
      <x:c r="A91" s="20" t="str">
        <x:v>030093</x:v>
      </x:c>
      <x:c r="B91" s="21" t="str">
        <x:v>Resiutta</x:v>
      </x:c>
      <x:c r="C91" s="21" t="str">
        <x:v>2023_Q4</x:v>
      </x:c>
      <x:c r="D91" s="24" t="n">
        <x:v>0</x:v>
      </x:c>
      <x:c r="E91" s="24" t="n">
        <x:v>0</x:v>
      </x:c>
      <x:c r="F91" s="24" t="n">
        <x:v>0</x:v>
      </x:c>
      <x:c r="G91" s="24" t="n">
        <x:v>0</x:v>
      </x:c>
      <x:c r="H91" s="24" t="n">
        <x:f>SUM(D91:G91)</x:f>
        <x:v>0</x:v>
      </x:c>
      <x:c r="I91" s="21" t="str">
        <x:v>ZERO_REAL_SOURCE_TABLE</x:v>
      </x:c>
      <x:c r="J91" s="21" t="str">
        <x:v>RESIUTTA</x:v>
      </x:c>
      <x:c r="K91" s="21" t="str">
        <x:v>DIRECT_NOMINAL</x:v>
      </x:c>
      <x:c r="L91" s="52" t="n">
        <x:v>84</x:v>
      </x:c>
      <x:c r="M91" s="21" t="str">
        <x:v>RAFVG_PDF_MUNICIPAL_TABLE</x:v>
      </x:c>
      <x:c r="N91" s="21" t="str">
        <x:v>https://www.consiglio.regione.fvg.it/cms/export/sites/consiglio/attivita/valutazione/Relazioni-informative/allegati/CV-LR-29-2005_V.pdf</x:v>
      </x:c>
      <x:c r="O91" s="21" t="str">
        <x:v>REGIONAL_TABLE</x:v>
      </x:c>
      <x:c r="P91" s="21" t="str">
        <x:v>RAFVG_REGIONAL_TABLE_2023</x:v>
      </x:c>
    </x:row>
    <x:row r="92">
      <x:c r="A92" s="20" t="str">
        <x:v>030094</x:v>
      </x:c>
      <x:c r="B92" s="21" t="str">
        <x:v>Rigolato</x:v>
      </x:c>
      <x:c r="C92" s="21" t="str">
        <x:v>2023_Q4</x:v>
      </x:c>
      <x:c r="D92" s="24" t="n">
        <x:v>0</x:v>
      </x:c>
      <x:c r="E92" s="24" t="n">
        <x:v>0</x:v>
      </x:c>
      <x:c r="F92" s="24" t="n">
        <x:v>0</x:v>
      </x:c>
      <x:c r="G92" s="24" t="n">
        <x:v>0</x:v>
      </x:c>
      <x:c r="H92" s="24" t="n">
        <x:f>SUM(D92:G92)</x:f>
        <x:v>0</x:v>
      </x:c>
      <x:c r="I92" s="21" t="str">
        <x:v>ZERO_REAL_SOURCE_TABLE</x:v>
      </x:c>
      <x:c r="J92" s="21" t="str">
        <x:v>RIGOLATO</x:v>
      </x:c>
      <x:c r="K92" s="21" t="str">
        <x:v>DIRECT_NOMINAL</x:v>
      </x:c>
      <x:c r="L92" s="52" t="n">
        <x:v>84</x:v>
      </x:c>
      <x:c r="M92" s="21" t="str">
        <x:v>RAFVG_PDF_MUNICIPAL_TABLE</x:v>
      </x:c>
      <x:c r="N92" s="21" t="str">
        <x:v>https://www.consiglio.regione.fvg.it/cms/export/sites/consiglio/attivita/valutazione/Relazioni-informative/allegati/CV-LR-29-2005_V.pdf</x:v>
      </x:c>
      <x:c r="O92" s="21" t="str">
        <x:v>REGIONAL_TABLE</x:v>
      </x:c>
      <x:c r="P92" s="21" t="str">
        <x:v>RAFVG_REGIONAL_TABLE_2023</x:v>
      </x:c>
    </x:row>
    <x:row r="93">
      <x:c r="A93" s="20" t="str">
        <x:v>030095</x:v>
      </x:c>
      <x:c r="B93" s="21" t="str">
        <x:v>Rive d'Arcano</x:v>
      </x:c>
      <x:c r="C93" s="21" t="str">
        <x:v>2023_Q4</x:v>
      </x:c>
      <x:c r="D93" s="24" t="n">
        <x:v>0</x:v>
      </x:c>
      <x:c r="E93" s="24" t="n">
        <x:v>0</x:v>
      </x:c>
      <x:c r="F93" s="24" t="n">
        <x:v>0</x:v>
      </x:c>
      <x:c r="G93" s="24" t="n">
        <x:v>0</x:v>
      </x:c>
      <x:c r="H93" s="24" t="n">
        <x:f>SUM(D93:G93)</x:f>
        <x:v>0</x:v>
      </x:c>
      <x:c r="I93" s="21" t="str">
        <x:v>ZERO_REAL_SOURCE_TABLE</x:v>
      </x:c>
      <x:c r="J93" s="21" t="str">
        <x:v>RIVE D'ARCANO</x:v>
      </x:c>
      <x:c r="K93" s="21" t="str">
        <x:v>DIRECT_NOMINAL</x:v>
      </x:c>
      <x:c r="L93" s="52" t="n">
        <x:v>84</x:v>
      </x:c>
      <x:c r="M93" s="21" t="str">
        <x:v>RAFVG_PDF_MUNICIPAL_TABLE</x:v>
      </x:c>
      <x:c r="N93" s="21" t="str">
        <x:v>https://www.consiglio.regione.fvg.it/cms/export/sites/consiglio/attivita/valutazione/Relazioni-informative/allegati/CV-LR-29-2005_V.pdf</x:v>
      </x:c>
      <x:c r="O93" s="21" t="str">
        <x:v>REGIONAL_TABLE</x:v>
      </x:c>
      <x:c r="P93" s="21" t="str">
        <x:v>RAFVG_REGIONAL_TABLE_2023</x:v>
      </x:c>
    </x:row>
    <x:row r="94">
      <x:c r="A94" s="20" t="str">
        <x:v>030097</x:v>
      </x:c>
      <x:c r="B94" s="21" t="str">
        <x:v>Ronchis</x:v>
      </x:c>
      <x:c r="C94" s="21" t="str">
        <x:v>2023_Q4</x:v>
      </x:c>
      <x:c r="D94" s="24" t="n">
        <x:v>0</x:v>
      </x:c>
      <x:c r="E94" s="24" t="n">
        <x:v>0</x:v>
      </x:c>
      <x:c r="F94" s="24" t="n">
        <x:v>0</x:v>
      </x:c>
      <x:c r="G94" s="24" t="n">
        <x:v>0</x:v>
      </x:c>
      <x:c r="H94" s="24" t="n">
        <x:f>SUM(D94:G94)</x:f>
        <x:v>0</x:v>
      </x:c>
      <x:c r="I94" s="21" t="str">
        <x:v>ZERO_REAL_SOURCE_TABLE</x:v>
      </x:c>
      <x:c r="J94" s="21" t="str">
        <x:v>RONCHIS</x:v>
      </x:c>
      <x:c r="K94" s="21" t="str">
        <x:v>DIRECT_NOMINAL</x:v>
      </x:c>
      <x:c r="L94" s="52" t="n">
        <x:v>85</x:v>
      </x:c>
      <x:c r="M94" s="21" t="str">
        <x:v>RAFVG_PDF_MUNICIPAL_TABLE</x:v>
      </x:c>
      <x:c r="N94" s="21" t="str">
        <x:v>https://www.consiglio.regione.fvg.it/cms/export/sites/consiglio/attivita/valutazione/Relazioni-informative/allegati/CV-LR-29-2005_V.pdf</x:v>
      </x:c>
      <x:c r="O94" s="21" t="str">
        <x:v>REGIONAL_TABLE</x:v>
      </x:c>
      <x:c r="P94" s="21" t="str">
        <x:v>RAFVG_REGIONAL_TABLE_2023</x:v>
      </x:c>
    </x:row>
    <x:row r="95">
      <x:c r="A95" s="20" t="str">
        <x:v>030098</x:v>
      </x:c>
      <x:c r="B95" s="21" t="str">
        <x:v>Ruda</x:v>
      </x:c>
      <x:c r="C95" s="21" t="str">
        <x:v>2023_Q4</x:v>
      </x:c>
      <x:c r="D95" s="24" t="n">
        <x:v>0</x:v>
      </x:c>
      <x:c r="E95" s="24" t="n">
        <x:v>0</x:v>
      </x:c>
      <x:c r="F95" s="24" t="n">
        <x:v>0</x:v>
      </x:c>
      <x:c r="G95" s="24" t="n">
        <x:v>0</x:v>
      </x:c>
      <x:c r="H95" s="24" t="n">
        <x:f>SUM(D95:G95)</x:f>
        <x:v>0</x:v>
      </x:c>
      <x:c r="I95" s="21" t="str">
        <x:v>ZERO_REAL_SOURCE_TABLE</x:v>
      </x:c>
      <x:c r="J95" s="21" t="str">
        <x:v>RUDA</x:v>
      </x:c>
      <x:c r="K95" s="21" t="str">
        <x:v>DIRECT_NOMINAL</x:v>
      </x:c>
      <x:c r="L95" s="52" t="n">
        <x:v>85</x:v>
      </x:c>
      <x:c r="M95" s="21" t="str">
        <x:v>RAFVG_PDF_MUNICIPAL_TABLE</x:v>
      </x:c>
      <x:c r="N95" s="21" t="str">
        <x:v>https://www.consiglio.regione.fvg.it/cms/export/sites/consiglio/attivita/valutazione/Relazioni-informative/allegati/CV-LR-29-2005_V.pdf</x:v>
      </x:c>
      <x:c r="O95" s="21" t="str">
        <x:v>REGIONAL_TABLE</x:v>
      </x:c>
      <x:c r="P95" s="21" t="str">
        <x:v>RAFVG_REGIONAL_TABLE_2023</x:v>
      </x:c>
    </x:row>
    <x:row r="96">
      <x:c r="A96" s="20" t="str">
        <x:v>030099</x:v>
      </x:c>
      <x:c r="B96" s="21" t="str">
        <x:v>San Daniele del Friuli</x:v>
      </x:c>
      <x:c r="C96" s="21" t="str">
        <x:v>2023_Q4</x:v>
      </x:c>
      <x:c r="D96" s="24" t="n">
        <x:v>6092</x:v>
      </x:c>
      <x:c r="E96" s="24" t="n">
        <x:v>0</x:v>
      </x:c>
      <x:c r="F96" s="24" t="n">
        <x:v>0</x:v>
      </x:c>
      <x:c r="G96" s="24" t="n">
        <x:v>0</x:v>
      </x:c>
      <x:c r="H96" s="24" t="n">
        <x:f>SUM(D96:G96)</x:f>
        <x:v>6092</x:v>
      </x:c>
      <x:c r="I96" s="21" t="str">
        <x:v>OBSERVED_POSITIVE</x:v>
      </x:c>
      <x:c r="J96" s="21" t="str">
        <x:v>SAN DANIELE DEL FRIULI</x:v>
      </x:c>
      <x:c r="K96" s="21" t="str">
        <x:v>DIRECT_NOMINAL</x:v>
      </x:c>
      <x:c r="L96" s="52" t="n">
        <x:v>85</x:v>
      </x:c>
      <x:c r="M96" s="21" t="str">
        <x:v>RAFVG_PDF_MUNICIPAL_TABLE</x:v>
      </x:c>
      <x:c r="N96" s="21" t="str">
        <x:v>https://www.consiglio.regione.fvg.it/cms/export/sites/consiglio/attivita/valutazione/Relazioni-informative/allegati/CV-LR-29-2005_V.pdf</x:v>
      </x:c>
      <x:c r="O96" s="21" t="str">
        <x:v>NOT_ZERO</x:v>
      </x:c>
      <x:c r="P96" s="21" t="str">
        <x:v>RAFVG_REGIONAL_TABLE_2023</x:v>
      </x:c>
    </x:row>
    <x:row r="97">
      <x:c r="A97" s="20" t="str">
        <x:v>030100</x:v>
      </x:c>
      <x:c r="B97" s="21" t="str">
        <x:v>San Giorgio di Nogaro</x:v>
      </x:c>
      <x:c r="C97" s="21" t="str">
        <x:v>2023_Q4</x:v>
      </x:c>
      <x:c r="D97" s="24" t="n">
        <x:v>2470</x:v>
      </x:c>
      <x:c r="E97" s="24" t="n">
        <x:v>0</x:v>
      </x:c>
      <x:c r="F97" s="24" t="n">
        <x:v>0</x:v>
      </x:c>
      <x:c r="G97" s="24" t="n">
        <x:v>2500</x:v>
      </x:c>
      <x:c r="H97" s="24" t="n">
        <x:f>SUM(D97:G97)</x:f>
        <x:v>4970</x:v>
      </x:c>
      <x:c r="I97" s="21" t="str">
        <x:v>OBSERVED_POSITIVE</x:v>
      </x:c>
      <x:c r="J97" s="21" t="str">
        <x:v>SAN GIORGIO DI NOGARO</x:v>
      </x:c>
      <x:c r="K97" s="21" t="str">
        <x:v>DIRECT_NOMINAL</x:v>
      </x:c>
      <x:c r="L97" s="52" t="n">
        <x:v>85</x:v>
      </x:c>
      <x:c r="M97" s="21" t="str">
        <x:v>RAFVG_PDF_MUNICIPAL_TABLE</x:v>
      </x:c>
      <x:c r="N97" s="21" t="str">
        <x:v>https://www.consiglio.regione.fvg.it/cms/export/sites/consiglio/attivita/valutazione/Relazioni-informative/allegati/CV-LR-29-2005_V.pdf</x:v>
      </x:c>
      <x:c r="O97" s="21" t="str">
        <x:v>NOT_ZERO</x:v>
      </x:c>
      <x:c r="P97" s="21" t="str">
        <x:v>RAFVG_REGIONAL_TABLE_2023</x:v>
      </x:c>
    </x:row>
    <x:row r="98">
      <x:c r="A98" s="20" t="str">
        <x:v>030101</x:v>
      </x:c>
      <x:c r="B98" s="21" t="str">
        <x:v>San Giovanni al Natisone</x:v>
      </x:c>
      <x:c r="C98" s="21" t="str">
        <x:v>2023_Q4</x:v>
      </x:c>
      <x:c r="D98" s="24" t="n">
        <x:v>1742</x:v>
      </x:c>
      <x:c r="E98" s="24" t="n">
        <x:v>0</x:v>
      </x:c>
      <x:c r="F98" s="24" t="n">
        <x:v>0</x:v>
      </x:c>
      <x:c r="G98" s="24" t="n">
        <x:v>5350</x:v>
      </x:c>
      <x:c r="H98" s="24" t="n">
        <x:f>SUM(D98:G98)</x:f>
        <x:v>7092</x:v>
      </x:c>
      <x:c r="I98" s="21" t="str">
        <x:v>OBSERVED_POSITIVE</x:v>
      </x:c>
      <x:c r="J98" s="21" t="str">
        <x:v>SAN GIOVANNI AL NATISONE</x:v>
      </x:c>
      <x:c r="K98" s="21" t="str">
        <x:v>DIRECT_NOMINAL</x:v>
      </x:c>
      <x:c r="L98" s="52" t="n">
        <x:v>85</x:v>
      </x:c>
      <x:c r="M98" s="21" t="str">
        <x:v>RAFVG_PDF_MUNICIPAL_TABLE</x:v>
      </x:c>
      <x:c r="N98" s="21" t="str">
        <x:v>https://www.consiglio.regione.fvg.it/cms/export/sites/consiglio/attivita/valutazione/Relazioni-informative/allegati/CV-LR-29-2005_V.pdf</x:v>
      </x:c>
      <x:c r="O98" s="21" t="str">
        <x:v>NOT_ZERO</x:v>
      </x:c>
      <x:c r="P98" s="21" t="str">
        <x:v>RAFVG_REGIONAL_TABLE_2023</x:v>
      </x:c>
    </x:row>
    <x:row r="99">
      <x:c r="A99" s="20" t="str">
        <x:v>030102</x:v>
      </x:c>
      <x:c r="B99" s="21" t="str">
        <x:v>San Leonardo</x:v>
      </x:c>
      <x:c r="C99" s="21" t="str">
        <x:v>2023_Q4</x:v>
      </x:c>
      <x:c r="D99" s="24" t="n">
        <x:v>0</x:v>
      </x:c>
      <x:c r="E99" s="24" t="n">
        <x:v>0</x:v>
      </x:c>
      <x:c r="F99" s="24" t="n">
        <x:v>0</x:v>
      </x:c>
      <x:c r="G99" s="24" t="n">
        <x:v>0</x:v>
      </x:c>
      <x:c r="H99" s="24" t="n">
        <x:f>SUM(D99:G99)</x:f>
        <x:v>0</x:v>
      </x:c>
      <x:c r="I99" s="21" t="str">
        <x:v>ZERO_REAL_SOURCE_TABLE</x:v>
      </x:c>
      <x:c r="J99" s="21" t="str">
        <x:v>SAN LEONARDO</x:v>
      </x:c>
      <x:c r="K99" s="21" t="str">
        <x:v>DIRECT_NOMINAL</x:v>
      </x:c>
      <x:c r="L99" s="52" t="n">
        <x:v>86</x:v>
      </x:c>
      <x:c r="M99" s="21" t="str">
        <x:v>RAFVG_PDF_MUNICIPAL_TABLE</x:v>
      </x:c>
      <x:c r="N99" s="21" t="str">
        <x:v>https://www.consiglio.regione.fvg.it/cms/export/sites/consiglio/attivita/valutazione/Relazioni-informative/allegati/CV-LR-29-2005_V.pdf</x:v>
      </x:c>
      <x:c r="O99" s="21" t="str">
        <x:v>REGIONAL_TABLE</x:v>
      </x:c>
      <x:c r="P99" s="21" t="str">
        <x:v>RAFVG_REGIONAL_TABLE_2023</x:v>
      </x:c>
    </x:row>
    <x:row r="100">
      <x:c r="A100" s="20" t="str">
        <x:v>030103</x:v>
      </x:c>
      <x:c r="B100" s="21" t="str">
        <x:v>San Pietro al Natisone</x:v>
      </x:c>
      <x:c r="C100" s="21" t="str">
        <x:v>2023_Q4</x:v>
      </x:c>
      <x:c r="D100" s="24" t="n">
        <x:v>0</x:v>
      </x:c>
      <x:c r="E100" s="24" t="n">
        <x:v>0</x:v>
      </x:c>
      <x:c r="F100" s="24" t="n">
        <x:v>0</x:v>
      </x:c>
      <x:c r="G100" s="24" t="n">
        <x:v>0</x:v>
      </x:c>
      <x:c r="H100" s="24" t="n">
        <x:f>SUM(D100:G100)</x:f>
        <x:v>0</x:v>
      </x:c>
      <x:c r="I100" s="21" t="str">
        <x:v>ZERO_REAL_SOURCE_TABLE</x:v>
      </x:c>
      <x:c r="J100" s="21" t="str">
        <x:v>SAN PIETRO AL NATISONE</x:v>
      </x:c>
      <x:c r="K100" s="21" t="str">
        <x:v>DIRECT_NOMINAL</x:v>
      </x:c>
      <x:c r="L100" s="52" t="n">
        <x:v>86</x:v>
      </x:c>
      <x:c r="M100" s="21" t="str">
        <x:v>RAFVG_PDF_MUNICIPAL_TABLE</x:v>
      </x:c>
      <x:c r="N100" s="21" t="str">
        <x:v>https://www.consiglio.regione.fvg.it/cms/export/sites/consiglio/attivita/valutazione/Relazioni-informative/allegati/CV-LR-29-2005_V.pdf</x:v>
      </x:c>
      <x:c r="O100" s="21" t="str">
        <x:v>REGIONAL_TABLE</x:v>
      </x:c>
      <x:c r="P100" s="21" t="str">
        <x:v>RAFVG_REGIONAL_TABLE_2023</x:v>
      </x:c>
    </x:row>
    <x:row r="101">
      <x:c r="A101" s="20" t="str">
        <x:v>030104</x:v>
      </x:c>
      <x:c r="B101" s="21" t="str">
        <x:v>Santa Maria la Longa</x:v>
      </x:c>
      <x:c r="C101" s="21" t="str">
        <x:v>2023_Q4</x:v>
      </x:c>
      <x:c r="D101" s="24" t="n">
        <x:v>790</x:v>
      </x:c>
      <x:c r="E101" s="24" t="n">
        <x:v>0</x:v>
      </x:c>
      <x:c r="F101" s="24" t="n">
        <x:v>0</x:v>
      </x:c>
      <x:c r="G101" s="24" t="n">
        <x:v>0</x:v>
      </x:c>
      <x:c r="H101" s="24" t="n">
        <x:f>SUM(D101:G101)</x:f>
        <x:v>790</x:v>
      </x:c>
      <x:c r="I101" s="21" t="str">
        <x:v>OBSERVED_POSITIVE</x:v>
      </x:c>
      <x:c r="J101" s="21" t="str">
        <x:v>SANTA MARIA LA LONGA</x:v>
      </x:c>
      <x:c r="K101" s="21" t="str">
        <x:v>DIRECT_NOMINAL</x:v>
      </x:c>
      <x:c r="L101" s="52" t="n">
        <x:v>86</x:v>
      </x:c>
      <x:c r="M101" s="21" t="str">
        <x:v>RAFVG_PDF_MUNICIPAL_TABLE</x:v>
      </x:c>
      <x:c r="N101" s="21" t="str">
        <x:v>https://www.consiglio.regione.fvg.it/cms/export/sites/consiglio/attivita/valutazione/Relazioni-informative/allegati/CV-LR-29-2005_V.pdf</x:v>
      </x:c>
      <x:c r="O101" s="21" t="str">
        <x:v>NOT_ZERO</x:v>
      </x:c>
      <x:c r="P101" s="21" t="str">
        <x:v>RAFVG_REGIONAL_TABLE_2023</x:v>
      </x:c>
    </x:row>
    <x:row r="102">
      <x:c r="A102" s="20" t="str">
        <x:v>030105</x:v>
      </x:c>
      <x:c r="B102" s="21" t="str">
        <x:v>San Vito al Torre</x:v>
      </x:c>
      <x:c r="C102" s="21" t="str">
        <x:v>2023_Q4</x:v>
      </x:c>
      <x:c r="D102" s="24" t="n">
        <x:v>0</x:v>
      </x:c>
      <x:c r="E102" s="24" t="n">
        <x:v>0</x:v>
      </x:c>
      <x:c r="F102" s="24" t="n">
        <x:v>0</x:v>
      </x:c>
      <x:c r="G102" s="24" t="n">
        <x:v>0</x:v>
      </x:c>
      <x:c r="H102" s="24" t="n">
        <x:f>SUM(D102:G102)</x:f>
        <x:v>0</x:v>
      </x:c>
      <x:c r="I102" s="21" t="str">
        <x:v>ZERO_REAL_SOURCE_TABLE</x:v>
      </x:c>
      <x:c r="J102" s="21" t="str">
        <x:v>SAN VITO AL TORRE</x:v>
      </x:c>
      <x:c r="K102" s="21" t="str">
        <x:v>DIRECT_NOMINAL</x:v>
      </x:c>
      <x:c r="L102" s="52" t="n">
        <x:v>86</x:v>
      </x:c>
      <x:c r="M102" s="21" t="str">
        <x:v>RAFVG_PDF_MUNICIPAL_TABLE</x:v>
      </x:c>
      <x:c r="N102" s="21" t="str">
        <x:v>https://www.consiglio.regione.fvg.it/cms/export/sites/consiglio/attivita/valutazione/Relazioni-informative/allegati/CV-LR-29-2005_V.pdf</x:v>
      </x:c>
      <x:c r="O102" s="21" t="str">
        <x:v>REGIONAL_TABLE</x:v>
      </x:c>
      <x:c r="P102" s="21" t="str">
        <x:v>RAFVG_REGIONAL_TABLE_2023</x:v>
      </x:c>
    </x:row>
    <x:row r="103">
      <x:c r="A103" s="20" t="str">
        <x:v>030106</x:v>
      </x:c>
      <x:c r="B103" s="21" t="str">
        <x:v>San Vito di Fagagna</x:v>
      </x:c>
      <x:c r="C103" s="21" t="str">
        <x:v>2023_Q4</x:v>
      </x:c>
      <x:c r="D103" s="24" t="n">
        <x:v>0</x:v>
      </x:c>
      <x:c r="E103" s="24" t="n">
        <x:v>0</x:v>
      </x:c>
      <x:c r="F103" s="24" t="n">
        <x:v>0</x:v>
      </x:c>
      <x:c r="G103" s="24" t="n">
        <x:v>0</x:v>
      </x:c>
      <x:c r="H103" s="24" t="n">
        <x:f>SUM(D103:G103)</x:f>
        <x:v>0</x:v>
      </x:c>
      <x:c r="I103" s="21" t="str">
        <x:v>ZERO_REAL_SOURCE_TABLE</x:v>
      </x:c>
      <x:c r="J103" s="21" t="str">
        <x:v>SAN VITO DI FAGAGNA</x:v>
      </x:c>
      <x:c r="K103" s="21" t="str">
        <x:v>DIRECT_NOMINAL</x:v>
      </x:c>
      <x:c r="L103" s="52" t="n">
        <x:v>87</x:v>
      </x:c>
      <x:c r="M103" s="21" t="str">
        <x:v>RAFVG_PDF_MUNICIPAL_TABLE</x:v>
      </x:c>
      <x:c r="N103" s="21" t="str">
        <x:v>https://www.consiglio.regione.fvg.it/cms/export/sites/consiglio/attivita/valutazione/Relazioni-informative/allegati/CV-LR-29-2005_V.pdf</x:v>
      </x:c>
      <x:c r="O103" s="21" t="str">
        <x:v>REGIONAL_TABLE</x:v>
      </x:c>
      <x:c r="P103" s="21" t="str">
        <x:v>RAFVG_REGIONAL_TABLE_2023</x:v>
      </x:c>
    </x:row>
    <x:row r="104">
      <x:c r="A104" s="20" t="str">
        <x:v>030107</x:v>
      </x:c>
      <x:c r="B104" s="21" t="str">
        <x:v>Sauris</x:v>
      </x:c>
      <x:c r="C104" s="21" t="str">
        <x:v>2023_Q4</x:v>
      </x:c>
      <x:c r="D104" s="24" t="n">
        <x:v>0</x:v>
      </x:c>
      <x:c r="E104" s="24" t="n">
        <x:v>0</x:v>
      </x:c>
      <x:c r="F104" s="24" t="n">
        <x:v>0</x:v>
      </x:c>
      <x:c r="G104" s="24" t="n">
        <x:v>0</x:v>
      </x:c>
      <x:c r="H104" s="24" t="n">
        <x:f>SUM(D104:G104)</x:f>
        <x:v>0</x:v>
      </x:c>
      <x:c r="I104" s="21" t="str">
        <x:v>ZERO_REAL_SOURCE_TABLE</x:v>
      </x:c>
      <x:c r="J104" s="21" t="str">
        <x:v>SAURIS</x:v>
      </x:c>
      <x:c r="K104" s="21" t="str">
        <x:v>DIRECT_NOMINAL</x:v>
      </x:c>
      <x:c r="L104" s="52" t="n">
        <x:v>87</x:v>
      </x:c>
      <x:c r="M104" s="21" t="str">
        <x:v>RAFVG_PDF_MUNICIPAL_TABLE</x:v>
      </x:c>
      <x:c r="N104" s="21" t="str">
        <x:v>https://www.consiglio.regione.fvg.it/cms/export/sites/consiglio/attivita/valutazione/Relazioni-informative/allegati/CV-LR-29-2005_V.pdf</x:v>
      </x:c>
      <x:c r="O104" s="21" t="str">
        <x:v>REGIONAL_TABLE</x:v>
      </x:c>
      <x:c r="P104" s="21" t="str">
        <x:v>RAFVG_REGIONAL_TABLE_2023</x:v>
      </x:c>
    </x:row>
    <x:row r="105">
      <x:c r="A105" s="20" t="str">
        <x:v>030108</x:v>
      </x:c>
      <x:c r="B105" s="21" t="str">
        <x:v>Savogna</x:v>
      </x:c>
      <x:c r="C105" s="21" t="str">
        <x:v>2023_Q4</x:v>
      </x:c>
      <x:c r="D105" s="24" t="n">
        <x:v>0</x:v>
      </x:c>
      <x:c r="E105" s="24" t="n">
        <x:v>0</x:v>
      </x:c>
      <x:c r="F105" s="24" t="n">
        <x:v>0</x:v>
      </x:c>
      <x:c r="G105" s="24" t="n">
        <x:v>0</x:v>
      </x:c>
      <x:c r="H105" s="24" t="n">
        <x:f>SUM(D105:G105)</x:f>
        <x:v>0</x:v>
      </x:c>
      <x:c r="I105" s="21" t="str">
        <x:v>ZERO_REAL_SOURCE_TABLE</x:v>
      </x:c>
      <x:c r="J105" s="21" t="str">
        <x:v>SAVOGNA</x:v>
      </x:c>
      <x:c r="K105" s="21" t="str">
        <x:v>DIRECT_NOMINAL</x:v>
      </x:c>
      <x:c r="L105" s="52" t="n">
        <x:v>87</x:v>
      </x:c>
      <x:c r="M105" s="21" t="str">
        <x:v>RAFVG_PDF_MUNICIPAL_TABLE</x:v>
      </x:c>
      <x:c r="N105" s="21" t="str">
        <x:v>https://www.consiglio.regione.fvg.it/cms/export/sites/consiglio/attivita/valutazione/Relazioni-informative/allegati/CV-LR-29-2005_V.pdf</x:v>
      </x:c>
      <x:c r="O105" s="21" t="str">
        <x:v>REGIONAL_TABLE</x:v>
      </x:c>
      <x:c r="P105" s="21" t="str">
        <x:v>RAFVG_REGIONAL_TABLE_2023</x:v>
      </x:c>
    </x:row>
    <x:row r="106">
      <x:c r="A106" s="20" t="str">
        <x:v>030109</x:v>
      </x:c>
      <x:c r="B106" s="21" t="str">
        <x:v>Sedegliano</x:v>
      </x:c>
      <x:c r="C106" s="21" t="str">
        <x:v>2023_Q4</x:v>
      </x:c>
      <x:c r="D106" s="24" t="n">
        <x:v>1195</x:v>
      </x:c>
      <x:c r="E106" s="24" t="n">
        <x:v>0</x:v>
      </x:c>
      <x:c r="F106" s="24" t="n">
        <x:v>0</x:v>
      </x:c>
      <x:c r="G106" s="24" t="n">
        <x:v>0</x:v>
      </x:c>
      <x:c r="H106" s="24" t="n">
        <x:f>SUM(D106:G106)</x:f>
        <x:v>1195</x:v>
      </x:c>
      <x:c r="I106" s="21" t="str">
        <x:v>OBSERVED_POSITIVE</x:v>
      </x:c>
      <x:c r="J106" s="21" t="str">
        <x:v>SEDEGLIANO</x:v>
      </x:c>
      <x:c r="K106" s="21" t="str">
        <x:v>DIRECT_NOMINAL</x:v>
      </x:c>
      <x:c r="L106" s="52" t="n">
        <x:v>87</x:v>
      </x:c>
      <x:c r="M106" s="21" t="str">
        <x:v>RAFVG_PDF_MUNICIPAL_TABLE</x:v>
      </x:c>
      <x:c r="N106" s="21" t="str">
        <x:v>https://www.consiglio.regione.fvg.it/cms/export/sites/consiglio/attivita/valutazione/Relazioni-informative/allegati/CV-LR-29-2005_V.pdf</x:v>
      </x:c>
      <x:c r="O106" s="21" t="str">
        <x:v>NOT_ZERO</x:v>
      </x:c>
      <x:c r="P106" s="21" t="str">
        <x:v>RAFVG_REGIONAL_TABLE_2023</x:v>
      </x:c>
    </x:row>
    <x:row r="107">
      <x:c r="A107" s="20" t="str">
        <x:v>030110</x:v>
      </x:c>
      <x:c r="B107" s="21" t="str">
        <x:v>Socchieve</x:v>
      </x:c>
      <x:c r="C107" s="21" t="str">
        <x:v>2023_Q4</x:v>
      </x:c>
      <x:c r="D107" s="24" t="n">
        <x:v>0</x:v>
      </x:c>
      <x:c r="E107" s="24" t="n">
        <x:v>0</x:v>
      </x:c>
      <x:c r="F107" s="24" t="n">
        <x:v>0</x:v>
      </x:c>
      <x:c r="G107" s="24" t="n">
        <x:v>0</x:v>
      </x:c>
      <x:c r="H107" s="24" t="n">
        <x:f>SUM(D107:G107)</x:f>
        <x:v>0</x:v>
      </x:c>
      <x:c r="I107" s="21" t="str">
        <x:v>ZERO_REAL_SOURCE_TABLE</x:v>
      </x:c>
      <x:c r="J107" s="21" t="str">
        <x:v>SOCCHIEVE</x:v>
      </x:c>
      <x:c r="K107" s="21" t="str">
        <x:v>DIRECT_NOMINAL</x:v>
      </x:c>
      <x:c r="L107" s="52" t="n">
        <x:v>87</x:v>
      </x:c>
      <x:c r="M107" s="21" t="str">
        <x:v>RAFVG_PDF_MUNICIPAL_TABLE</x:v>
      </x:c>
      <x:c r="N107" s="21" t="str">
        <x:v>https://www.consiglio.regione.fvg.it/cms/export/sites/consiglio/attivita/valutazione/Relazioni-informative/allegati/CV-LR-29-2005_V.pdf</x:v>
      </x:c>
      <x:c r="O107" s="21" t="str">
        <x:v>REGIONAL_TABLE</x:v>
      </x:c>
      <x:c r="P107" s="21" t="str">
        <x:v>RAFVG_REGIONAL_TABLE_2023</x:v>
      </x:c>
    </x:row>
    <x:row r="108">
      <x:c r="A108" s="20" t="str">
        <x:v>030111</x:v>
      </x:c>
      <x:c r="B108" s="21" t="str">
        <x:v>Stregna</x:v>
      </x:c>
      <x:c r="C108" s="21" t="str">
        <x:v>2023_Q4</x:v>
      </x:c>
      <x:c r="D108" s="24" t="n">
        <x:v>0</x:v>
      </x:c>
      <x:c r="E108" s="24" t="n">
        <x:v>0</x:v>
      </x:c>
      <x:c r="F108" s="24" t="n">
        <x:v>0</x:v>
      </x:c>
      <x:c r="G108" s="24" t="n">
        <x:v>0</x:v>
      </x:c>
      <x:c r="H108" s="24" t="n">
        <x:f>SUM(D108:G108)</x:f>
        <x:v>0</x:v>
      </x:c>
      <x:c r="I108" s="21" t="str">
        <x:v>ZERO_REAL_SOURCE_TABLE</x:v>
      </x:c>
      <x:c r="J108" s="21" t="str">
        <x:v>STREGNA</x:v>
      </x:c>
      <x:c r="K108" s="21" t="str">
        <x:v>DIRECT_NOMINAL</x:v>
      </x:c>
      <x:c r="L108" s="52" t="n">
        <x:v>88</x:v>
      </x:c>
      <x:c r="M108" s="21" t="str">
        <x:v>RAFVG_PDF_MUNICIPAL_TABLE</x:v>
      </x:c>
      <x:c r="N108" s="21" t="str">
        <x:v>https://www.consiglio.regione.fvg.it/cms/export/sites/consiglio/attivita/valutazione/Relazioni-informative/allegati/CV-LR-29-2005_V.pdf</x:v>
      </x:c>
      <x:c r="O108" s="21" t="str">
        <x:v>REGIONAL_TABLE</x:v>
      </x:c>
      <x:c r="P108" s="21" t="str">
        <x:v>RAFVG_REGIONAL_TABLE_2023</x:v>
      </x:c>
    </x:row>
    <x:row r="109">
      <x:c r="A109" s="20" t="str">
        <x:v>030112</x:v>
      </x:c>
      <x:c r="B109" s="21" t="str">
        <x:v>Sutrio</x:v>
      </x:c>
      <x:c r="C109" s="21" t="str">
        <x:v>2023_Q4</x:v>
      </x:c>
      <x:c r="D109" s="24" t="n">
        <x:v>615.5</x:v>
      </x:c>
      <x:c r="E109" s="24" t="n">
        <x:v>0</x:v>
      </x:c>
      <x:c r="F109" s="24" t="n">
        <x:v>0</x:v>
      </x:c>
      <x:c r="G109" s="24" t="n">
        <x:v>0</x:v>
      </x:c>
      <x:c r="H109" s="24" t="n">
        <x:f>SUM(D109:G109)</x:f>
        <x:v>615.5</x:v>
      </x:c>
      <x:c r="I109" s="21" t="str">
        <x:v>OBSERVED_POSITIVE</x:v>
      </x:c>
      <x:c r="J109" s="21" t="str">
        <x:v>SUTRIO</x:v>
      </x:c>
      <x:c r="K109" s="21" t="str">
        <x:v>DIRECT_NOMINAL</x:v>
      </x:c>
      <x:c r="L109" s="52" t="n">
        <x:v>88</x:v>
      </x:c>
      <x:c r="M109" s="21" t="str">
        <x:v>RAFVG_PDF_MUNICIPAL_TABLE</x:v>
      </x:c>
      <x:c r="N109" s="21" t="str">
        <x:v>https://www.consiglio.regione.fvg.it/cms/export/sites/consiglio/attivita/valutazione/Relazioni-informative/allegati/CV-LR-29-2005_V.pdf</x:v>
      </x:c>
      <x:c r="O109" s="21" t="str">
        <x:v>NOT_ZERO</x:v>
      </x:c>
      <x:c r="P109" s="21" t="str">
        <x:v>RAFVG_REGIONAL_TABLE_2023</x:v>
      </x:c>
    </x:row>
    <x:row r="110">
      <x:c r="A110" s="20" t="str">
        <x:v>030113</x:v>
      </x:c>
      <x:c r="B110" s="21" t="str">
        <x:v>Taipana</x:v>
      </x:c>
      <x:c r="C110" s="21" t="str">
        <x:v>2023_Q4</x:v>
      </x:c>
      <x:c r="D110" s="24" t="n">
        <x:v>0</x:v>
      </x:c>
      <x:c r="E110" s="24" t="n">
        <x:v>0</x:v>
      </x:c>
      <x:c r="F110" s="24" t="n">
        <x:v>0</x:v>
      </x:c>
      <x:c r="G110" s="24" t="n">
        <x:v>0</x:v>
      </x:c>
      <x:c r="H110" s="24" t="n">
        <x:f>SUM(D110:G110)</x:f>
        <x:v>0</x:v>
      </x:c>
      <x:c r="I110" s="21" t="str">
        <x:v>ZERO_REAL_SOURCE_TABLE</x:v>
      </x:c>
      <x:c r="J110" s="21" t="str">
        <x:v>TAIPANA</x:v>
      </x:c>
      <x:c r="K110" s="21" t="str">
        <x:v>DIRECT_NOMINAL</x:v>
      </x:c>
      <x:c r="L110" s="52" t="n">
        <x:v>88</x:v>
      </x:c>
      <x:c r="M110" s="21" t="str">
        <x:v>RAFVG_PDF_MUNICIPAL_TABLE</x:v>
      </x:c>
      <x:c r="N110" s="21" t="str">
        <x:v>https://www.consiglio.regione.fvg.it/cms/export/sites/consiglio/attivita/valutazione/Relazioni-informative/allegati/CV-LR-29-2005_V.pdf</x:v>
      </x:c>
      <x:c r="O110" s="21" t="str">
        <x:v>REGIONAL_TABLE</x:v>
      </x:c>
      <x:c r="P110" s="21" t="str">
        <x:v>RAFVG_REGIONAL_TABLE_2023</x:v>
      </x:c>
    </x:row>
    <x:row r="111">
      <x:c r="A111" s="20" t="str">
        <x:v>030114</x:v>
      </x:c>
      <x:c r="B111" s="21" t="str">
        <x:v>Talmassons</x:v>
      </x:c>
      <x:c r="C111" s="21" t="str">
        <x:v>2023_Q4</x:v>
      </x:c>
      <x:c r="D111" s="24" t="n">
        <x:v>800</x:v>
      </x:c>
      <x:c r="E111" s="24" t="n">
        <x:v>2997.08</x:v>
      </x:c>
      <x:c r="F111" s="24" t="n">
        <x:v>0</x:v>
      </x:c>
      <x:c r="G111" s="24" t="n">
        <x:v>0</x:v>
      </x:c>
      <x:c r="H111" s="24" t="n">
        <x:f>SUM(D111:G111)</x:f>
        <x:v>3797.08</x:v>
      </x:c>
      <x:c r="I111" s="21" t="str">
        <x:v>OBSERVED_POSITIVE</x:v>
      </x:c>
      <x:c r="J111" s="21" t="str">
        <x:v>TALMASSONS</x:v>
      </x:c>
      <x:c r="K111" s="21" t="str">
        <x:v>DIRECT_NOMINAL</x:v>
      </x:c>
      <x:c r="L111" s="52" t="n">
        <x:v>88</x:v>
      </x:c>
      <x:c r="M111" s="21" t="str">
        <x:v>RAFVG_PDF_MUNICIPAL_TABLE</x:v>
      </x:c>
      <x:c r="N111" s="21" t="str">
        <x:v>https://www.consiglio.regione.fvg.it/cms/export/sites/consiglio/attivita/valutazione/Relazioni-informative/allegati/CV-LR-29-2005_V.pdf</x:v>
      </x:c>
      <x:c r="O111" s="21" t="str">
        <x:v>NOT_ZERO</x:v>
      </x:c>
      <x:c r="P111" s="21" t="str">
        <x:v>RAFVG_REGIONAL_TABLE_2023</x:v>
      </x:c>
    </x:row>
    <x:row r="112">
      <x:c r="A112" s="20" t="str">
        <x:v>030116</x:v>
      </x:c>
      <x:c r="B112" s="21" t="str">
        <x:v>Tarcento</x:v>
      </x:c>
      <x:c r="C112" s="21" t="str">
        <x:v>2023_Q4</x:v>
      </x:c>
      <x:c r="D112" s="24" t="n">
        <x:v>5489</x:v>
      </x:c>
      <x:c r="E112" s="24" t="n">
        <x:v>0</x:v>
      </x:c>
      <x:c r="F112" s="24" t="n">
        <x:v>0</x:v>
      </x:c>
      <x:c r="G112" s="24" t="n">
        <x:v>0</x:v>
      </x:c>
      <x:c r="H112" s="24" t="n">
        <x:f>SUM(D112:G112)</x:f>
        <x:v>5489</x:v>
      </x:c>
      <x:c r="I112" s="21" t="str">
        <x:v>OBSERVED_POSITIVE</x:v>
      </x:c>
      <x:c r="J112" s="21" t="str">
        <x:v>TARCENTO</x:v>
      </x:c>
      <x:c r="K112" s="21" t="str">
        <x:v>DIRECT_NOMINAL</x:v>
      </x:c>
      <x:c r="L112" s="52" t="n">
        <x:v>88</x:v>
      </x:c>
      <x:c r="M112" s="21" t="str">
        <x:v>RAFVG_PDF_MUNICIPAL_TABLE</x:v>
      </x:c>
      <x:c r="N112" s="21" t="str">
        <x:v>https://www.consiglio.regione.fvg.it/cms/export/sites/consiglio/attivita/valutazione/Relazioni-informative/allegati/CV-LR-29-2005_V.pdf</x:v>
      </x:c>
      <x:c r="O112" s="21" t="str">
        <x:v>NOT_ZERO</x:v>
      </x:c>
      <x:c r="P112" s="21" t="str">
        <x:v>RAFVG_REGIONAL_TABLE_2023</x:v>
      </x:c>
    </x:row>
    <x:row r="113">
      <x:c r="A113" s="20" t="str">
        <x:v>030117</x:v>
      </x:c>
      <x:c r="B113" s="21" t="str">
        <x:v>Tarvisio</x:v>
      </x:c>
      <x:c r="C113" s="21" t="str">
        <x:v>2023_Q4</x:v>
      </x:c>
      <x:c r="D113" s="24" t="n">
        <x:v>2988</x:v>
      </x:c>
      <x:c r="E113" s="24" t="n">
        <x:v>0</x:v>
      </x:c>
      <x:c r="F113" s="24" t="n">
        <x:v>0</x:v>
      </x:c>
      <x:c r="G113" s="24" t="n">
        <x:v>0</x:v>
      </x:c>
      <x:c r="H113" s="24" t="n">
        <x:f>SUM(D113:G113)</x:f>
        <x:v>2988</x:v>
      </x:c>
      <x:c r="I113" s="21" t="str">
        <x:v>OBSERVED_POSITIVE</x:v>
      </x:c>
      <x:c r="J113" s="21" t="str">
        <x:v>TARVISIO</x:v>
      </x:c>
      <x:c r="K113" s="21" t="str">
        <x:v>DIRECT_NOMINAL</x:v>
      </x:c>
      <x:c r="L113" s="52" t="n">
        <x:v>89</x:v>
      </x:c>
      <x:c r="M113" s="21" t="str">
        <x:v>RAFVG_PDF_MUNICIPAL_TABLE</x:v>
      </x:c>
      <x:c r="N113" s="21" t="str">
        <x:v>https://www.consiglio.regione.fvg.it/cms/export/sites/consiglio/attivita/valutazione/Relazioni-informative/allegati/CV-LR-29-2005_V.pdf</x:v>
      </x:c>
      <x:c r="O113" s="21" t="str">
        <x:v>NOT_ZERO</x:v>
      </x:c>
      <x:c r="P113" s="21" t="str">
        <x:v>RAFVG_REGIONAL_TABLE_2023</x:v>
      </x:c>
    </x:row>
    <x:row r="114">
      <x:c r="A114" s="20" t="str">
        <x:v>030118</x:v>
      </x:c>
      <x:c r="B114" s="21" t="str">
        <x:v>Tavagnacco</x:v>
      </x:c>
      <x:c r="C114" s="21" t="str">
        <x:v>2023_Q4</x:v>
      </x:c>
      <x:c r="D114" s="24" t="n">
        <x:v>10692</x:v>
      </x:c>
      <x:c r="E114" s="24" t="n">
        <x:v>11563.61</x:v>
      </x:c>
      <x:c r="F114" s="24" t="n">
        <x:v>8867</x:v>
      </x:c>
      <x:c r="G114" s="24" t="n">
        <x:v>33846</x:v>
      </x:c>
      <x:c r="H114" s="24" t="n">
        <x:f>SUM(D114:G114)</x:f>
        <x:v>64968.61</x:v>
      </x:c>
      <x:c r="I114" s="21" t="str">
        <x:v>OBSERVED_POSITIVE</x:v>
      </x:c>
      <x:c r="J114" s="21" t="str">
        <x:v>TAVAGNACCO</x:v>
      </x:c>
      <x:c r="K114" s="21" t="str">
        <x:v>DIRECT_NOMINAL</x:v>
      </x:c>
      <x:c r="L114" s="52" t="n">
        <x:v>89</x:v>
      </x:c>
      <x:c r="M114" s="21" t="str">
        <x:v>RAFVG_PDF_MUNICIPAL_TABLE</x:v>
      </x:c>
      <x:c r="N114" s="21" t="str">
        <x:v>https://www.consiglio.regione.fvg.it/cms/export/sites/consiglio/attivita/valutazione/Relazioni-informative/allegati/CV-LR-29-2005_V.pdf</x:v>
      </x:c>
      <x:c r="O114" s="21" t="str">
        <x:v>NOT_ZERO</x:v>
      </x:c>
      <x:c r="P114" s="21" t="str">
        <x:v>RAFVG_REGIONAL_TABLE_2023</x:v>
      </x:c>
    </x:row>
    <x:row r="115">
      <x:c r="A115" s="20" t="str">
        <x:v>030120</x:v>
      </x:c>
      <x:c r="B115" s="21" t="str">
        <x:v>Terzo d'Aquileia</x:v>
      </x:c>
      <x:c r="C115" s="21" t="str">
        <x:v>2023_Q4</x:v>
      </x:c>
      <x:c r="D115" s="24" t="n">
        <x:v>0</x:v>
      </x:c>
      <x:c r="E115" s="24" t="n">
        <x:v>0</x:v>
      </x:c>
      <x:c r="F115" s="24" t="n">
        <x:v>0</x:v>
      </x:c>
      <x:c r="G115" s="24" t="n">
        <x:v>0</x:v>
      </x:c>
      <x:c r="H115" s="24" t="n">
        <x:f>SUM(D115:G115)</x:f>
        <x:v>0</x:v>
      </x:c>
      <x:c r="I115" s="21" t="str">
        <x:v>ZERO_REAL_SOURCE_TABLE</x:v>
      </x:c>
      <x:c r="J115" s="21" t="str">
        <x:v>TERZO D'AQUILEIA</x:v>
      </x:c>
      <x:c r="K115" s="21" t="str">
        <x:v>DIRECT_NOMINAL</x:v>
      </x:c>
      <x:c r="L115" s="52" t="n">
        <x:v>89</x:v>
      </x:c>
      <x:c r="M115" s="21" t="str">
        <x:v>RAFVG_PDF_MUNICIPAL_TABLE</x:v>
      </x:c>
      <x:c r="N115" s="21" t="str">
        <x:v>https://www.consiglio.regione.fvg.it/cms/export/sites/consiglio/attivita/valutazione/Relazioni-informative/allegati/CV-LR-29-2005_V.pdf</x:v>
      </x:c>
      <x:c r="O115" s="21" t="str">
        <x:v>REGIONAL_TABLE</x:v>
      </x:c>
      <x:c r="P115" s="21" t="str">
        <x:v>RAFVG_REGIONAL_TABLE_2023</x:v>
      </x:c>
    </x:row>
    <x:row r="116">
      <x:c r="A116" s="20" t="str">
        <x:v>030121</x:v>
      </x:c>
      <x:c r="B116" s="21" t="str">
        <x:v>Tolmezzo</x:v>
      </x:c>
      <x:c r="C116" s="21" t="str">
        <x:v>2023_Q4</x:v>
      </x:c>
      <x:c r="D116" s="24" t="n">
        <x:v>7435</x:v>
      </x:c>
      <x:c r="E116" s="24" t="n">
        <x:v>2040</x:v>
      </x:c>
      <x:c r="F116" s="24" t="n">
        <x:v>0</x:v>
      </x:c>
      <x:c r="G116" s="24" t="n">
        <x:v>0</x:v>
      </x:c>
      <x:c r="H116" s="24" t="n">
        <x:f>SUM(D116:G116)</x:f>
        <x:v>9475</x:v>
      </x:c>
      <x:c r="I116" s="21" t="str">
        <x:v>OBSERVED_POSITIVE</x:v>
      </x:c>
      <x:c r="J116" s="21" t="str">
        <x:v>TOLMEZZO</x:v>
      </x:c>
      <x:c r="K116" s="21" t="str">
        <x:v>DIRECT_NOMINAL</x:v>
      </x:c>
      <x:c r="L116" s="52" t="n">
        <x:v>89</x:v>
      </x:c>
      <x:c r="M116" s="21" t="str">
        <x:v>RAFVG_PDF_MUNICIPAL_TABLE</x:v>
      </x:c>
      <x:c r="N116" s="21" t="str">
        <x:v>https://www.consiglio.regione.fvg.it/cms/export/sites/consiglio/attivita/valutazione/Relazioni-informative/allegati/CV-LR-29-2005_V.pdf</x:v>
      </x:c>
      <x:c r="O116" s="21" t="str">
        <x:v>NOT_ZERO</x:v>
      </x:c>
      <x:c r="P116" s="21" t="str">
        <x:v>RAFVG_REGIONAL_TABLE_2023</x:v>
      </x:c>
    </x:row>
    <x:row r="117">
      <x:c r="A117" s="20" t="str">
        <x:v>030122</x:v>
      </x:c>
      <x:c r="B117" s="21" t="str">
        <x:v>Torreano</x:v>
      </x:c>
      <x:c r="C117" s="21" t="str">
        <x:v>2023_Q4</x:v>
      </x:c>
      <x:c r="D117" s="24" t="n">
        <x:v>0</x:v>
      </x:c>
      <x:c r="E117" s="24" t="n">
        <x:v>0</x:v>
      </x:c>
      <x:c r="F117" s="24" t="n">
        <x:v>0</x:v>
      </x:c>
      <x:c r="G117" s="24" t="n">
        <x:v>0</x:v>
      </x:c>
      <x:c r="H117" s="24" t="n">
        <x:f>SUM(D117:G117)</x:f>
        <x:v>0</x:v>
      </x:c>
      <x:c r="I117" s="21" t="str">
        <x:v>ZERO_REAL_SOURCE_TABLE</x:v>
      </x:c>
      <x:c r="J117" s="21" t="str">
        <x:v>TORREANO</x:v>
      </x:c>
      <x:c r="K117" s="21" t="str">
        <x:v>DIRECT_NOMINAL</x:v>
      </x:c>
      <x:c r="L117" s="52" t="n">
        <x:v>90</x:v>
      </x:c>
      <x:c r="M117" s="21" t="str">
        <x:v>RAFVG_PDF_MUNICIPAL_TABLE</x:v>
      </x:c>
      <x:c r="N117" s="21" t="str">
        <x:v>https://www.consiglio.regione.fvg.it/cms/export/sites/consiglio/attivita/valutazione/Relazioni-informative/allegati/CV-LR-29-2005_V.pdf</x:v>
      </x:c>
      <x:c r="O117" s="21" t="str">
        <x:v>REGIONAL_TABLE</x:v>
      </x:c>
      <x:c r="P117" s="21" t="str">
        <x:v>RAFVG_REGIONAL_TABLE_2023</x:v>
      </x:c>
    </x:row>
    <x:row r="118">
      <x:c r="A118" s="20" t="str">
        <x:v>030123</x:v>
      </x:c>
      <x:c r="B118" s="21" t="str">
        <x:v>Torviscosa</x:v>
      </x:c>
      <x:c r="C118" s="21" t="str">
        <x:v>2023_Q4</x:v>
      </x:c>
      <x:c r="D118" s="24" t="n">
        <x:v>0</x:v>
      </x:c>
      <x:c r="E118" s="24" t="n">
        <x:v>0</x:v>
      </x:c>
      <x:c r="F118" s="24" t="n">
        <x:v>0</x:v>
      </x:c>
      <x:c r="G118" s="24" t="n">
        <x:v>0</x:v>
      </x:c>
      <x:c r="H118" s="24" t="n">
        <x:f>SUM(D118:G118)</x:f>
        <x:v>0</x:v>
      </x:c>
      <x:c r="I118" s="21" t="str">
        <x:v>ZERO_REAL_SOURCE_TABLE</x:v>
      </x:c>
      <x:c r="J118" s="21" t="str">
        <x:v>TORVISCOSA</x:v>
      </x:c>
      <x:c r="K118" s="21" t="str">
        <x:v>DIRECT_NOMINAL</x:v>
      </x:c>
      <x:c r="L118" s="52" t="n">
        <x:v>90</x:v>
      </x:c>
      <x:c r="M118" s="21" t="str">
        <x:v>RAFVG_PDF_MUNICIPAL_TABLE</x:v>
      </x:c>
      <x:c r="N118" s="21" t="str">
        <x:v>https://www.consiglio.regione.fvg.it/cms/export/sites/consiglio/attivita/valutazione/Relazioni-informative/allegati/CV-LR-29-2005_V.pdf</x:v>
      </x:c>
      <x:c r="O118" s="21" t="str">
        <x:v>REGIONAL_TABLE</x:v>
      </x:c>
      <x:c r="P118" s="21" t="str">
        <x:v>RAFVG_REGIONAL_TABLE_2023</x:v>
      </x:c>
    </x:row>
    <x:row r="119">
      <x:c r="A119" s="20" t="str">
        <x:v>030124</x:v>
      </x:c>
      <x:c r="B119" s="21" t="str">
        <x:v>Trasaghis</x:v>
      </x:c>
      <x:c r="C119" s="21" t="str">
        <x:v>2023_Q4</x:v>
      </x:c>
      <x:c r="D119" s="24" t="n">
        <x:v>454</x:v>
      </x:c>
      <x:c r="E119" s="24" t="n">
        <x:v>0</x:v>
      </x:c>
      <x:c r="F119" s="24" t="n">
        <x:v>0</x:v>
      </x:c>
      <x:c r="G119" s="24" t="n">
        <x:v>0</x:v>
      </x:c>
      <x:c r="H119" s="24" t="n">
        <x:f>SUM(D119:G119)</x:f>
        <x:v>454</x:v>
      </x:c>
      <x:c r="I119" s="21" t="str">
        <x:v>OBSERVED_POSITIVE</x:v>
      </x:c>
      <x:c r="J119" s="21" t="str">
        <x:v>TRASAGHIS</x:v>
      </x:c>
      <x:c r="K119" s="21" t="str">
        <x:v>DIRECT_NOMINAL</x:v>
      </x:c>
      <x:c r="L119" s="52" t="n">
        <x:v>90</x:v>
      </x:c>
      <x:c r="M119" s="21" t="str">
        <x:v>RAFVG_PDF_MUNICIPAL_TABLE</x:v>
      </x:c>
      <x:c r="N119" s="21" t="str">
        <x:v>https://www.consiglio.regione.fvg.it/cms/export/sites/consiglio/attivita/valutazione/Relazioni-informative/allegati/CV-LR-29-2005_V.pdf</x:v>
      </x:c>
      <x:c r="O119" s="21" t="str">
        <x:v>NOT_ZERO</x:v>
      </x:c>
      <x:c r="P119" s="21" t="str">
        <x:v>RAFVG_REGIONAL_TABLE_2023</x:v>
      </x:c>
    </x:row>
    <x:row r="120">
      <x:c r="A120" s="20" t="str">
        <x:v>030126</x:v>
      </x:c>
      <x:c r="B120" s="21" t="str">
        <x:v>Treppo Grande</x:v>
      </x:c>
      <x:c r="C120" s="21" t="str">
        <x:v>2023_Q4</x:v>
      </x:c>
      <x:c r="D120" s="24" t="n">
        <x:v>469</x:v>
      </x:c>
      <x:c r="E120" s="24" t="n">
        <x:v>0</x:v>
      </x:c>
      <x:c r="F120" s="24" t="n">
        <x:v>0</x:v>
      </x:c>
      <x:c r="G120" s="24" t="n">
        <x:v>0</x:v>
      </x:c>
      <x:c r="H120" s="24" t="n">
        <x:f>SUM(D120:G120)</x:f>
        <x:v>469</x:v>
      </x:c>
      <x:c r="I120" s="21" t="str">
        <x:v>OBSERVED_POSITIVE</x:v>
      </x:c>
      <x:c r="J120" s="21" t="str">
        <x:v>TREPPO GRANDE</x:v>
      </x:c>
      <x:c r="K120" s="21" t="str">
        <x:v>DIRECT_NOMINAL</x:v>
      </x:c>
      <x:c r="L120" s="52" t="n">
        <x:v>90</x:v>
      </x:c>
      <x:c r="M120" s="21" t="str">
        <x:v>RAFVG_PDF_MUNICIPAL_TABLE</x:v>
      </x:c>
      <x:c r="N120" s="21" t="str">
        <x:v>https://www.consiglio.regione.fvg.it/cms/export/sites/consiglio/attivita/valutazione/Relazioni-informative/allegati/CV-LR-29-2005_V.pdf</x:v>
      </x:c>
      <x:c r="O120" s="21" t="str">
        <x:v>NOT_ZERO</x:v>
      </x:c>
      <x:c r="P120" s="21" t="str">
        <x:v>RAFVG_REGIONAL_TABLE_2023</x:v>
      </x:c>
    </x:row>
    <x:row r="121">
      <x:c r="A121" s="20" t="str">
        <x:v>030127</x:v>
      </x:c>
      <x:c r="B121" s="21" t="str">
        <x:v>Tricesimo</x:v>
      </x:c>
      <x:c r="C121" s="21" t="str">
        <x:v>2023_Q4</x:v>
      </x:c>
      <x:c r="D121" s="24" t="n">
        <x:v>3498</x:v>
      </x:c>
      <x:c r="E121" s="24" t="n">
        <x:v>6685</x:v>
      </x:c>
      <x:c r="F121" s="24" t="n">
        <x:v>1050</x:v>
      </x:c>
      <x:c r="G121" s="24" t="n">
        <x:v>0</x:v>
      </x:c>
      <x:c r="H121" s="24" t="n">
        <x:f>SUM(D121:G121)</x:f>
        <x:v>11233</x:v>
      </x:c>
      <x:c r="I121" s="21" t="str">
        <x:v>OBSERVED_POSITIVE</x:v>
      </x:c>
      <x:c r="J121" s="21" t="str">
        <x:v>TRICESIMO</x:v>
      </x:c>
      <x:c r="K121" s="21" t="str">
        <x:v>DIRECT_NOMINAL</x:v>
      </x:c>
      <x:c r="L121" s="52" t="n">
        <x:v>91</x:v>
      </x:c>
      <x:c r="M121" s="21" t="str">
        <x:v>RAFVG_PDF_MUNICIPAL_TABLE</x:v>
      </x:c>
      <x:c r="N121" s="21" t="str">
        <x:v>https://www.consiglio.regione.fvg.it/cms/export/sites/consiglio/attivita/valutazione/Relazioni-informative/allegati/CV-LR-29-2005_V.pdf</x:v>
      </x:c>
      <x:c r="O121" s="21" t="str">
        <x:v>NOT_ZERO</x:v>
      </x:c>
      <x:c r="P121" s="21" t="str">
        <x:v>RAFVG_REGIONAL_TABLE_2023</x:v>
      </x:c>
    </x:row>
    <x:row r="122">
      <x:c r="A122" s="20" t="str">
        <x:v>030128</x:v>
      </x:c>
      <x:c r="B122" s="21" t="str">
        <x:v>Trivignano Udinese</x:v>
      </x:c>
      <x:c r="C122" s="21" t="str">
        <x:v>2023_Q4</x:v>
      </x:c>
      <x:c r="D122" s="24" t="n">
        <x:v>0</x:v>
      </x:c>
      <x:c r="E122" s="24" t="n">
        <x:v>0</x:v>
      </x:c>
      <x:c r="F122" s="24" t="n">
        <x:v>0</x:v>
      </x:c>
      <x:c r="G122" s="24" t="n">
        <x:v>0</x:v>
      </x:c>
      <x:c r="H122" s="24" t="n">
        <x:f>SUM(D122:G122)</x:f>
        <x:v>0</x:v>
      </x:c>
      <x:c r="I122" s="21" t="str">
        <x:v>ZERO_REAL_SOURCE_TABLE</x:v>
      </x:c>
      <x:c r="J122" s="21" t="str">
        <x:v>TRIVIGNANO UDINESE</x:v>
      </x:c>
      <x:c r="K122" s="21" t="str">
        <x:v>DIRECT_NOMINAL</x:v>
      </x:c>
      <x:c r="L122" s="52" t="n">
        <x:v>91</x:v>
      </x:c>
      <x:c r="M122" s="21" t="str">
        <x:v>RAFVG_PDF_MUNICIPAL_TABLE</x:v>
      </x:c>
      <x:c r="N122" s="21" t="str">
        <x:v>https://www.consiglio.regione.fvg.it/cms/export/sites/consiglio/attivita/valutazione/Relazioni-informative/allegati/CV-LR-29-2005_V.pdf</x:v>
      </x:c>
      <x:c r="O122" s="21" t="str">
        <x:v>REGIONAL_TABLE</x:v>
      </x:c>
      <x:c r="P122" s="21" t="str">
        <x:v>RAFVG_REGIONAL_TABLE_2023</x:v>
      </x:c>
    </x:row>
    <x:row r="123">
      <x:c r="A123" s="20" t="str">
        <x:v>030129</x:v>
      </x:c>
      <x:c r="B123" s="21" t="str">
        <x:v>Udine</x:v>
      </x:c>
      <x:c r="C123" s="21" t="str">
        <x:v>2023_Q4</x:v>
      </x:c>
      <x:c r="D123" s="24" t="n">
        <x:v>45617</x:v>
      </x:c>
      <x:c r="E123" s="24" t="n">
        <x:v>26528</x:v>
      </x:c>
      <x:c r="F123" s="24" t="n">
        <x:v>0</x:v>
      </x:c>
      <x:c r="G123" s="24" t="n">
        <x:v>40823.85</x:v>
      </x:c>
      <x:c r="H123" s="24" t="n">
        <x:f>SUM(D123:G123)</x:f>
        <x:v>112968.85</x:v>
      </x:c>
      <x:c r="I123" s="21" t="str">
        <x:v>OBSERVED_POSITIVE</x:v>
      </x:c>
      <x:c r="J123" s="21" t="str">
        <x:v>UDINE</x:v>
      </x:c>
      <x:c r="K123" s="21" t="str">
        <x:v>DIRECT_NOMINAL</x:v>
      </x:c>
      <x:c r="L123" s="52" t="n">
        <x:v>91</x:v>
      </x:c>
      <x:c r="M123" s="21" t="str">
        <x:v>RAFVG_PDF_MUNICIPAL_TABLE</x:v>
      </x:c>
      <x:c r="N123" s="21" t="str">
        <x:v>https://www.consiglio.regione.fvg.it/cms/export/sites/consiglio/attivita/valutazione/Relazioni-informative/allegati/CV-LR-29-2005_V.pdf</x:v>
      </x:c>
      <x:c r="O123" s="21" t="str">
        <x:v>NOT_ZERO</x:v>
      </x:c>
      <x:c r="P123" s="21" t="str">
        <x:v>RAFVG_REGIONAL_TABLE_2023</x:v>
      </x:c>
    </x:row>
    <x:row r="124">
      <x:c r="A124" s="20" t="str">
        <x:v>030130</x:v>
      </x:c>
      <x:c r="B124" s="21" t="str">
        <x:v>Varmo</x:v>
      </x:c>
      <x:c r="C124" s="21" t="str">
        <x:v>2023_Q4</x:v>
      </x:c>
      <x:c r="D124" s="24" t="n">
        <x:v>0</x:v>
      </x:c>
      <x:c r="E124" s="24" t="n">
        <x:v>0</x:v>
      </x:c>
      <x:c r="F124" s="24" t="n">
        <x:v>0</x:v>
      </x:c>
      <x:c r="G124" s="24" t="n">
        <x:v>0</x:v>
      </x:c>
      <x:c r="H124" s="24" t="n">
        <x:f>SUM(D124:G124)</x:f>
        <x:v>0</x:v>
      </x:c>
      <x:c r="I124" s="21" t="str">
        <x:v>ZERO_REAL_SOURCE_TABLE</x:v>
      </x:c>
      <x:c r="J124" s="21" t="str">
        <x:v>VARMO</x:v>
      </x:c>
      <x:c r="K124" s="21" t="str">
        <x:v>DIRECT_NOMINAL</x:v>
      </x:c>
      <x:c r="L124" s="52" t="n">
        <x:v>92</x:v>
      </x:c>
      <x:c r="M124" s="21" t="str">
        <x:v>RAFVG_PDF_MUNICIPAL_TABLE</x:v>
      </x:c>
      <x:c r="N124" s="21" t="str">
        <x:v>https://www.consiglio.regione.fvg.it/cms/export/sites/consiglio/attivita/valutazione/Relazioni-informative/allegati/CV-LR-29-2005_V.pdf</x:v>
      </x:c>
      <x:c r="O124" s="21" t="str">
        <x:v>REGIONAL_TABLE</x:v>
      </x:c>
      <x:c r="P124" s="21" t="str">
        <x:v>RAFVG_REGIONAL_TABLE_2023</x:v>
      </x:c>
    </x:row>
    <x:row r="125">
      <x:c r="A125" s="20" t="str">
        <x:v>030131</x:v>
      </x:c>
      <x:c r="B125" s="21" t="str">
        <x:v>Venzone</x:v>
      </x:c>
      <x:c r="C125" s="21" t="str">
        <x:v>2023_Q4</x:v>
      </x:c>
      <x:c r="D125" s="24" t="n">
        <x:v>0</x:v>
      </x:c>
      <x:c r="E125" s="24" t="n">
        <x:v>0</x:v>
      </x:c>
      <x:c r="F125" s="24" t="n">
        <x:v>0</x:v>
      </x:c>
      <x:c r="G125" s="24" t="n">
        <x:v>0</x:v>
      </x:c>
      <x:c r="H125" s="24" t="n">
        <x:f>SUM(D125:G125)</x:f>
        <x:v>0</x:v>
      </x:c>
      <x:c r="I125" s="21" t="str">
        <x:v>ZERO_REAL_SOURCE_TABLE</x:v>
      </x:c>
      <x:c r="J125" s="21" t="str">
        <x:v>VENZONE</x:v>
      </x:c>
      <x:c r="K125" s="21" t="str">
        <x:v>DIRECT_NOMINAL</x:v>
      </x:c>
      <x:c r="L125" s="52" t="n">
        <x:v>92</x:v>
      </x:c>
      <x:c r="M125" s="21" t="str">
        <x:v>RAFVG_PDF_MUNICIPAL_TABLE</x:v>
      </x:c>
      <x:c r="N125" s="21" t="str">
        <x:v>https://www.consiglio.regione.fvg.it/cms/export/sites/consiglio/attivita/valutazione/Relazioni-informative/allegati/CV-LR-29-2005_V.pdf</x:v>
      </x:c>
      <x:c r="O125" s="21" t="str">
        <x:v>REGIONAL_TABLE</x:v>
      </x:c>
      <x:c r="P125" s="21" t="str">
        <x:v>RAFVG_REGIONAL_TABLE_2023</x:v>
      </x:c>
    </x:row>
    <x:row r="126">
      <x:c r="A126" s="20" t="str">
        <x:v>030132</x:v>
      </x:c>
      <x:c r="B126" s="21" t="str">
        <x:v>Verzegnis</x:v>
      </x:c>
      <x:c r="C126" s="21" t="str">
        <x:v>2023_Q4</x:v>
      </x:c>
      <x:c r="D126" s="24" t="n">
        <x:v>0</x:v>
      </x:c>
      <x:c r="E126" s="24" t="n">
        <x:v>0</x:v>
      </x:c>
      <x:c r="F126" s="24" t="n">
        <x:v>0</x:v>
      </x:c>
      <x:c r="G126" s="24" t="n">
        <x:v>0</x:v>
      </x:c>
      <x:c r="H126" s="24" t="n">
        <x:f>SUM(D126:G126)</x:f>
        <x:v>0</x:v>
      </x:c>
      <x:c r="I126" s="21" t="str">
        <x:v>ZERO_REAL_SOURCE_TABLE</x:v>
      </x:c>
      <x:c r="J126" s="21" t="str">
        <x:v>VERZEGNIS</x:v>
      </x:c>
      <x:c r="K126" s="21" t="str">
        <x:v>DIRECT_NOMINAL</x:v>
      </x:c>
      <x:c r="L126" s="52" t="n">
        <x:v>92</x:v>
      </x:c>
      <x:c r="M126" s="21" t="str">
        <x:v>RAFVG_PDF_MUNICIPAL_TABLE</x:v>
      </x:c>
      <x:c r="N126" s="21" t="str">
        <x:v>https://www.consiglio.regione.fvg.it/cms/export/sites/consiglio/attivita/valutazione/Relazioni-informative/allegati/CV-LR-29-2005_V.pdf</x:v>
      </x:c>
      <x:c r="O126" s="21" t="str">
        <x:v>REGIONAL_TABLE</x:v>
      </x:c>
      <x:c r="P126" s="21" t="str">
        <x:v>RAFVG_REGIONAL_TABLE_2023</x:v>
      </x:c>
    </x:row>
    <x:row r="127">
      <x:c r="A127" s="20" t="str">
        <x:v>030133</x:v>
      </x:c>
      <x:c r="B127" s="21" t="str">
        <x:v>Villa Santina</x:v>
      </x:c>
      <x:c r="C127" s="21" t="str">
        <x:v>2023_Q4</x:v>
      </x:c>
      <x:c r="D127" s="24" t="n">
        <x:v>1610</x:v>
      </x:c>
      <x:c r="E127" s="24" t="n">
        <x:v>0</x:v>
      </x:c>
      <x:c r="F127" s="24" t="n">
        <x:v>0</x:v>
      </x:c>
      <x:c r="G127" s="24" t="n">
        <x:v>0</x:v>
      </x:c>
      <x:c r="H127" s="24" t="n">
        <x:f>SUM(D127:G127)</x:f>
        <x:v>1610</x:v>
      </x:c>
      <x:c r="I127" s="21" t="str">
        <x:v>OBSERVED_POSITIVE</x:v>
      </x:c>
      <x:c r="J127" s="21" t="str">
        <x:v>VILLA SANTINA</x:v>
      </x:c>
      <x:c r="K127" s="21" t="str">
        <x:v>DIRECT_NOMINAL</x:v>
      </x:c>
      <x:c r="L127" s="52" t="n">
        <x:v>92</x:v>
      </x:c>
      <x:c r="M127" s="21" t="str">
        <x:v>RAFVG_PDF_MUNICIPAL_TABLE</x:v>
      </x:c>
      <x:c r="N127" s="21" t="str">
        <x:v>https://www.consiglio.regione.fvg.it/cms/export/sites/consiglio/attivita/valutazione/Relazioni-informative/allegati/CV-LR-29-2005_V.pdf</x:v>
      </x:c>
      <x:c r="O127" s="21" t="str">
        <x:v>NOT_ZERO</x:v>
      </x:c>
      <x:c r="P127" s="21" t="str">
        <x:v>RAFVG_REGIONAL_TABLE_2023</x:v>
      </x:c>
    </x:row>
    <x:row r="128">
      <x:c r="A128" s="20" t="str">
        <x:v>030135</x:v>
      </x:c>
      <x:c r="B128" s="21" t="str">
        <x:v>Visco</x:v>
      </x:c>
      <x:c r="C128" s="21" t="str">
        <x:v>2023_Q4</x:v>
      </x:c>
      <x:c r="D128" s="24" t="n">
        <x:v>0</x:v>
      </x:c>
      <x:c r="E128" s="24" t="n">
        <x:v>0</x:v>
      </x:c>
      <x:c r="F128" s="24" t="n">
        <x:v>0</x:v>
      </x:c>
      <x:c r="G128" s="24" t="n">
        <x:v>0</x:v>
      </x:c>
      <x:c r="H128" s="24" t="n">
        <x:f>SUM(D128:G128)</x:f>
        <x:v>0</x:v>
      </x:c>
      <x:c r="I128" s="21" t="str">
        <x:v>ZERO_REAL_SOURCE_TABLE</x:v>
      </x:c>
      <x:c r="J128" s="21" t="str">
        <x:v>VISCO</x:v>
      </x:c>
      <x:c r="K128" s="21" t="str">
        <x:v>DIRECT_NOMINAL</x:v>
      </x:c>
      <x:c r="L128" s="52" t="n">
        <x:v>92</x:v>
      </x:c>
      <x:c r="M128" s="21" t="str">
        <x:v>RAFVG_PDF_MUNICIPAL_TABLE</x:v>
      </x:c>
      <x:c r="N128" s="21" t="str">
        <x:v>https://www.consiglio.regione.fvg.it/cms/export/sites/consiglio/attivita/valutazione/Relazioni-informative/allegati/CV-LR-29-2005_V.pdf</x:v>
      </x:c>
      <x:c r="O128" s="21" t="str">
        <x:v>REGIONAL_TABLE</x:v>
      </x:c>
      <x:c r="P128" s="21" t="str">
        <x:v>RAFVG_REGIONAL_TABLE_2023</x:v>
      </x:c>
    </x:row>
    <x:row r="129">
      <x:c r="A129" s="20" t="str">
        <x:v>030136</x:v>
      </x:c>
      <x:c r="B129" s="21" t="str">
        <x:v>Zuglio</x:v>
      </x:c>
      <x:c r="C129" s="21" t="str">
        <x:v>2023_Q4</x:v>
      </x:c>
      <x:c r="D129" s="24" t="n">
        <x:v>0</x:v>
      </x:c>
      <x:c r="E129" s="24" t="n">
        <x:v>0</x:v>
      </x:c>
      <x:c r="F129" s="24" t="n">
        <x:v>0</x:v>
      </x:c>
      <x:c r="G129" s="24" t="n">
        <x:v>0</x:v>
      </x:c>
      <x:c r="H129" s="24" t="n">
        <x:f>SUM(D129:G129)</x:f>
        <x:v>0</x:v>
      </x:c>
      <x:c r="I129" s="21" t="str">
        <x:v>ZERO_REAL_SOURCE_TABLE</x:v>
      </x:c>
      <x:c r="J129" s="21" t="str">
        <x:v>ZUGLIO</x:v>
      </x:c>
      <x:c r="K129" s="21" t="str">
        <x:v>DIRECT_NOMINAL</x:v>
      </x:c>
      <x:c r="L129" s="52" t="n">
        <x:v>93</x:v>
      </x:c>
      <x:c r="M129" s="21" t="str">
        <x:v>RAFVG_PDF_MUNICIPAL_TABLE</x:v>
      </x:c>
      <x:c r="N129" s="21" t="str">
        <x:v>https://www.consiglio.regione.fvg.it/cms/export/sites/consiglio/attivita/valutazione/Relazioni-informative/allegati/CV-LR-29-2005_V.pdf</x:v>
      </x:c>
      <x:c r="O129" s="21" t="str">
        <x:v>REGIONAL_TABLE</x:v>
      </x:c>
      <x:c r="P129" s="21" t="str">
        <x:v>RAFVG_REGIONAL_TABLE_2023</x:v>
      </x:c>
    </x:row>
    <x:row r="130">
      <x:c r="A130" s="20" t="str">
        <x:v>030137</x:v>
      </x:c>
      <x:c r="B130" s="21" t="str">
        <x:v>Forgaria nel Friuli</x:v>
      </x:c>
      <x:c r="C130" s="21" t="str">
        <x:v>2023_Q4</x:v>
      </x:c>
      <x:c r="D130" s="24" t="n">
        <x:v>0</x:v>
      </x:c>
      <x:c r="E130" s="24" t="n">
        <x:v>0</x:v>
      </x:c>
      <x:c r="F130" s="24" t="n">
        <x:v>0</x:v>
      </x:c>
      <x:c r="G130" s="24" t="n">
        <x:v>0</x:v>
      </x:c>
      <x:c r="H130" s="24" t="n">
        <x:f>SUM(D130:G130)</x:f>
        <x:v>0</x:v>
      </x:c>
      <x:c r="I130" s="21" t="str">
        <x:v>ZERO_REAL_SOURCE_TABLE</x:v>
      </x:c>
      <x:c r="J130" s="21" t="str">
        <x:v>FORGARIA NEL FRIULI</x:v>
      </x:c>
      <x:c r="K130" s="21" t="str">
        <x:v>DIRECT_NOMINAL</x:v>
      </x:c>
      <x:c r="L130" s="52" t="n">
        <x:v>72</x:v>
      </x:c>
      <x:c r="M130" s="21" t="str">
        <x:v>RAFVG_PDF_MUNICIPAL_TABLE</x:v>
      </x:c>
      <x:c r="N130" s="21" t="str">
        <x:v>https://www.consiglio.regione.fvg.it/cms/export/sites/consiglio/attivita/valutazione/Relazioni-informative/allegati/CV-LR-29-2005_V.pdf</x:v>
      </x:c>
      <x:c r="O130" s="21" t="str">
        <x:v>REGIONAL_TABLE</x:v>
      </x:c>
      <x:c r="P130" s="21" t="str">
        <x:v>RAFVG_REGIONAL_TABLE_2023</x:v>
      </x:c>
    </x:row>
    <x:row r="131">
      <x:c r="A131" s="20" t="str">
        <x:v>030138</x:v>
      </x:c>
      <x:c r="B131" s="21" t="str">
        <x:v>Campolongo Tapogliano</x:v>
      </x:c>
      <x:c r="C131" s="21" t="str">
        <x:v>2023_Q4</x:v>
      </x:c>
      <x:c r="D131" s="24" t="n">
        <x:v>0</x:v>
      </x:c>
      <x:c r="E131" s="24" t="n">
        <x:v>0</x:v>
      </x:c>
      <x:c r="F131" s="24" t="n">
        <x:v>0</x:v>
      </x:c>
      <x:c r="G131" s="24" t="n">
        <x:v>0</x:v>
      </x:c>
      <x:c r="H131" s="24" t="n">
        <x:f>SUM(D131:G131)</x:f>
        <x:v>0</x:v>
      </x:c>
      <x:c r="I131" s="21" t="str">
        <x:v>ZERO_REAL_SOURCE_TABLE</x:v>
      </x:c>
      <x:c r="J131" s="21" t="str">
        <x:v>CAMPOLONGO TAPOGLIANO</x:v>
      </x:c>
      <x:c r="K131" s="21" t="str">
        <x:v>DIRECT_NOMINAL</x:v>
      </x:c>
      <x:c r="L131" s="52" t="n">
        <x:v>67</x:v>
      </x:c>
      <x:c r="M131" s="21" t="str">
        <x:v>RAFVG_PDF_MUNICIPAL_TABLE</x:v>
      </x:c>
      <x:c r="N131" s="21" t="str">
        <x:v>https://www.consiglio.regione.fvg.it/cms/export/sites/consiglio/attivita/valutazione/Relazioni-informative/allegati/CV-LR-29-2005_V.pdf</x:v>
      </x:c>
      <x:c r="O131" s="21" t="str">
        <x:v>REGIONAL_TABLE</x:v>
      </x:c>
      <x:c r="P131" s="21" t="str">
        <x:v>RAFVG_REGIONAL_TABLE_2023</x:v>
      </x:c>
    </x:row>
    <x:row r="132">
      <x:c r="A132" s="20" t="str">
        <x:v>030188</x:v>
      </x:c>
      <x:c r="B132" s="21" t="str">
        <x:v>Rivignano Teor</x:v>
      </x:c>
      <x:c r="C132" s="21" t="str">
        <x:v>2023_Q4</x:v>
      </x:c>
      <x:c r="D132" s="24" t="n">
        <x:v>880</x:v>
      </x:c>
      <x:c r="E132" s="24" t="n">
        <x:v>3180</x:v>
      </x:c>
      <x:c r="F132" s="24" t="n">
        <x:v>0</x:v>
      </x:c>
      <x:c r="G132" s="24" t="n">
        <x:v>0</x:v>
      </x:c>
      <x:c r="H132" s="24" t="n">
        <x:f>SUM(D132:G132)</x:f>
        <x:v>4060</x:v>
      </x:c>
      <x:c r="I132" s="21" t="str">
        <x:v>OBSERVED_POSITIVE</x:v>
      </x:c>
      <x:c r="J132" s="21" t="str">
        <x:v>RIVIGNANO TEOR</x:v>
      </x:c>
      <x:c r="K132" s="21" t="str">
        <x:v>DIRECT_NOMINAL</x:v>
      </x:c>
      <x:c r="L132" s="52" t="n">
        <x:v>84</x:v>
      </x:c>
      <x:c r="M132" s="21" t="str">
        <x:v>RAFVG_PDF_MUNICIPAL_TABLE</x:v>
      </x:c>
      <x:c r="N132" s="21" t="str">
        <x:v>https://www.consiglio.regione.fvg.it/cms/export/sites/consiglio/attivita/valutazione/Relazioni-informative/allegati/CV-LR-29-2005_V.pdf</x:v>
      </x:c>
      <x:c r="O132" s="21" t="str">
        <x:v>NOT_ZERO</x:v>
      </x:c>
      <x:c r="P132" s="21" t="str">
        <x:v>RAFVG_REGIONAL_TABLE_2023</x:v>
      </x:c>
    </x:row>
    <x:row r="133">
      <x:c r="A133" s="20" t="str">
        <x:v>030189</x:v>
      </x:c>
      <x:c r="B133" s="21" t="str">
        <x:v>Sappada</x:v>
      </x:c>
      <x:c r="C133" s="21" t="str">
        <x:v>2023_Q4</x:v>
      </x:c>
      <x:c r="D133" s="24" t="n">
        <x:v>0</x:v>
      </x:c>
      <x:c r="E133" s="24" t="n">
        <x:v>0</x:v>
      </x:c>
      <x:c r="F133" s="24" t="n">
        <x:v>0</x:v>
      </x:c>
      <x:c r="G133" s="24" t="n">
        <x:v>0</x:v>
      </x:c>
      <x:c r="H133" s="24" t="n">
        <x:f>SUM(D133:G133)</x:f>
        <x:v>0</x:v>
      </x:c>
      <x:c r="I133" s="21" t="str">
        <x:v>ZERO_REAL_SOURCE_TABLE</x:v>
      </x:c>
      <x:c r="J133" s="21" t="str">
        <x:v>SAPPADA</x:v>
      </x:c>
      <x:c r="K133" s="21" t="str">
        <x:v>DIRECT_NOMINAL</x:v>
      </x:c>
      <x:c r="L133" s="52" t="n">
        <x:v>87</x:v>
      </x:c>
      <x:c r="M133" s="21" t="str">
        <x:v>RAFVG_PDF_MUNICIPAL_TABLE</x:v>
      </x:c>
      <x:c r="N133" s="21" t="str">
        <x:v>https://www.consiglio.regione.fvg.it/cms/export/sites/consiglio/attivita/valutazione/Relazioni-informative/allegati/CV-LR-29-2005_V.pdf</x:v>
      </x:c>
      <x:c r="O133" s="21" t="str">
        <x:v>REGIONAL_TABLE</x:v>
      </x:c>
      <x:c r="P133" s="21" t="str">
        <x:v>RAFVG_REGIONAL_TABLE_2023</x:v>
      </x:c>
    </x:row>
    <x:row r="134">
      <x:c r="A134" s="20" t="str">
        <x:v>030190</x:v>
      </x:c>
      <x:c r="B134" s="21" t="str">
        <x:v>Fiumicello Villa Vicentina</x:v>
      </x:c>
      <x:c r="C134" s="21" t="str">
        <x:v>2023_Q4</x:v>
      </x:c>
      <x:c r="D134" s="24" t="n">
        <x:v>5507</x:v>
      </x:c>
      <x:c r="E134" s="24" t="n">
        <x:v>0</x:v>
      </x:c>
      <x:c r="F134" s="24" t="n">
        <x:v>0</x:v>
      </x:c>
      <x:c r="G134" s="24" t="n">
        <x:v>0</x:v>
      </x:c>
      <x:c r="H134" s="24" t="n">
        <x:f>SUM(D134:G134)</x:f>
        <x:v>5507</x:v>
      </x:c>
      <x:c r="I134" s="21" t="str">
        <x:v>OBSERVED_POSITIVE</x:v>
      </x:c>
      <x:c r="J134" s="21" t="str">
        <x:v>FIUMICELLO VILLA VICENTINA</x:v>
      </x:c>
      <x:c r="K134" s="21" t="str">
        <x:v>DIRECT_NOMINAL</x:v>
      </x:c>
      <x:c r="L134" s="52" t="n">
        <x:v>72</x:v>
      </x:c>
      <x:c r="M134" s="21" t="str">
        <x:v>RAFVG_PDF_MUNICIPAL_TABLE</x:v>
      </x:c>
      <x:c r="N134" s="21" t="str">
        <x:v>https://www.consiglio.regione.fvg.it/cms/export/sites/consiglio/attivita/valutazione/Relazioni-informative/allegati/CV-LR-29-2005_V.pdf</x:v>
      </x:c>
      <x:c r="O134" s="21" t="str">
        <x:v>NOT_ZERO</x:v>
      </x:c>
      <x:c r="P134" s="21" t="str">
        <x:v>RAFVG_REGIONAL_TABLE_2023</x:v>
      </x:c>
    </x:row>
    <x:row r="135">
      <x:c r="A135" s="20" t="str">
        <x:v>030191</x:v>
      </x:c>
      <x:c r="B135" s="21" t="str">
        <x:v>Treppo Ligosullo</x:v>
      </x:c>
      <x:c r="C135" s="21" t="str">
        <x:v>2023_Q4</x:v>
      </x:c>
      <x:c r="D135" s="24" t="n">
        <x:v>0</x:v>
      </x:c>
      <x:c r="E135" s="24" t="n">
        <x:v>0</x:v>
      </x:c>
      <x:c r="F135" s="24" t="n">
        <x:v>0</x:v>
      </x:c>
      <x:c r="G135" s="24" t="n">
        <x:v>0</x:v>
      </x:c>
      <x:c r="H135" s="24" t="n">
        <x:f>SUM(D135:G135)</x:f>
        <x:v>0</x:v>
      </x:c>
      <x:c r="I135" s="21" t="str">
        <x:v>ZERO_REAL_SOURCE_TABLE</x:v>
      </x:c>
      <x:c r="J135" s="21" t="str">
        <x:v>TREPPO LIGOSULLO</x:v>
      </x:c>
      <x:c r="K135" s="21" t="str">
        <x:v>DIRECT_NOMINAL</x:v>
      </x:c>
      <x:c r="L135" s="52" t="n">
        <x:v>91</x:v>
      </x:c>
      <x:c r="M135" s="21" t="str">
        <x:v>RAFVG_PDF_MUNICIPAL_TABLE</x:v>
      </x:c>
      <x:c r="N135" s="21" t="str">
        <x:v>https://www.consiglio.regione.fvg.it/cms/export/sites/consiglio/attivita/valutazione/Relazioni-informative/allegati/CV-LR-29-2005_V.pdf</x:v>
      </x:c>
      <x:c r="O135" s="21" t="str">
        <x:v>REGIONAL_TABLE</x:v>
      </x:c>
      <x:c r="P135" s="21" t="str">
        <x:v>RAFVG_REGIONAL_TABLE_2023</x:v>
      </x:c>
    </x:row>
    <x:row r="136">
      <x:c r="A136" s="20" t="str">
        <x:v>031001</x:v>
      </x:c>
      <x:c r="B136" s="21" t="str">
        <x:v>Capriva del Friuli</x:v>
      </x:c>
      <x:c r="C136" s="21" t="str">
        <x:v>2023_Q4</x:v>
      </x:c>
      <x:c r="D136" s="24" t="n">
        <x:v>996</x:v>
      </x:c>
      <x:c r="E136" s="24" t="n">
        <x:v>0</x:v>
      </x:c>
      <x:c r="F136" s="24" t="n">
        <x:v>0</x:v>
      </x:c>
      <x:c r="G136" s="24" t="n">
        <x:v>0</x:v>
      </x:c>
      <x:c r="H136" s="24" t="n">
        <x:f>SUM(D136:G136)</x:f>
        <x:v>996</x:v>
      </x:c>
      <x:c r="I136" s="21" t="str">
        <x:v>OBSERVED_POSITIVE</x:v>
      </x:c>
      <x:c r="J136" s="21" t="str">
        <x:v>CAPRIVA DEL FRIULI</x:v>
      </x:c>
      <x:c r="K136" s="21" t="str">
        <x:v>DIRECT_NOMINAL</x:v>
      </x:c>
      <x:c r="L136" s="52" t="n">
        <x:v>44</x:v>
      </x:c>
      <x:c r="M136" s="21" t="str">
        <x:v>RAFVG_PDF_MUNICIPAL_TABLE</x:v>
      </x:c>
      <x:c r="N136" s="21" t="str">
        <x:v>https://www.consiglio.regione.fvg.it/cms/export/sites/consiglio/attivita/valutazione/Relazioni-informative/allegati/CV-LR-29-2005_V.pdf</x:v>
      </x:c>
      <x:c r="O136" s="21" t="str">
        <x:v>NOT_ZERO</x:v>
      </x:c>
      <x:c r="P136" s="21" t="str">
        <x:v>RAFVG_REGIONAL_TABLE_2023</x:v>
      </x:c>
    </x:row>
    <x:row r="137">
      <x:c r="A137" s="20" t="str">
        <x:v>031002</x:v>
      </x:c>
      <x:c r="B137" s="21" t="str">
        <x:v>Cormons</x:v>
      </x:c>
      <x:c r="C137" s="21" t="str">
        <x:v>2023_Q4</x:v>
      </x:c>
      <x:c r="D137" s="24" t="n">
        <x:v>3483.36</x:v>
      </x:c>
      <x:c r="E137" s="24" t="n">
        <x:v>0</x:v>
      </x:c>
      <x:c r="F137" s="24" t="n">
        <x:v>0</x:v>
      </x:c>
      <x:c r="G137" s="24" t="n">
        <x:v>0</x:v>
      </x:c>
      <x:c r="H137" s="24" t="n">
        <x:f>SUM(D137:G137)</x:f>
        <x:v>3483.36</x:v>
      </x:c>
      <x:c r="I137" s="21" t="str">
        <x:v>OBSERVED_POSITIVE</x:v>
      </x:c>
      <x:c r="J137" s="21" t="str">
        <x:v>CORMONS</x:v>
      </x:c>
      <x:c r="K137" s="21" t="str">
        <x:v>DIRECT_NOMINAL</x:v>
      </x:c>
      <x:c r="L137" s="52" t="n">
        <x:v>44</x:v>
      </x:c>
      <x:c r="M137" s="21" t="str">
        <x:v>RAFVG_PDF_MUNICIPAL_TABLE</x:v>
      </x:c>
      <x:c r="N137" s="21" t="str">
        <x:v>https://www.consiglio.regione.fvg.it/cms/export/sites/consiglio/attivita/valutazione/Relazioni-informative/allegati/CV-LR-29-2005_V.pdf</x:v>
      </x:c>
      <x:c r="O137" s="21" t="str">
        <x:v>NOT_ZERO</x:v>
      </x:c>
      <x:c r="P137" s="21" t="str">
        <x:v>RAFVG_REGIONAL_TABLE_2023</x:v>
      </x:c>
    </x:row>
    <x:row r="138">
      <x:c r="A138" s="20" t="str">
        <x:v>031003</x:v>
      </x:c>
      <x:c r="B138" s="21" t="str">
        <x:v>Doberdò del Lago-Doberdob</x:v>
      </x:c>
      <x:c r="C138" s="21" t="str">
        <x:v>2023_Q4</x:v>
      </x:c>
      <x:c r="D138" s="24" t="n">
        <x:v>0</x:v>
      </x:c>
      <x:c r="E138" s="24" t="n">
        <x:v>0</x:v>
      </x:c>
      <x:c r="F138" s="24" t="n">
        <x:v>0</x:v>
      </x:c>
      <x:c r="G138" s="24" t="n">
        <x:v>0</x:v>
      </x:c>
      <x:c r="H138" s="24" t="n">
        <x:f>SUM(D138:G138)</x:f>
        <x:v>0</x:v>
      </x:c>
      <x:c r="I138" s="21" t="str">
        <x:v>ZERO_REAL_SOURCE_TABLE</x:v>
      </x:c>
      <x:c r="J138" s="21" t="str">
        <x:v>DOBERDO' DEL LAGO</x:v>
      </x:c>
      <x:c r="K138" s="21" t="str">
        <x:v>ALIAS_DETERMINISTIC</x:v>
      </x:c>
      <x:c r="L138" s="52" t="n">
        <x:v>44</x:v>
      </x:c>
      <x:c r="M138" s="21" t="str">
        <x:v>RAFVG_PDF_MUNICIPAL_TABLE</x:v>
      </x:c>
      <x:c r="N138" s="21" t="str">
        <x:v>https://www.consiglio.regione.fvg.it/cms/export/sites/consiglio/attivita/valutazione/Relazioni-informative/allegati/CV-LR-29-2005_V.pdf</x:v>
      </x:c>
      <x:c r="O138" s="21" t="str">
        <x:v>REGIONAL_TABLE</x:v>
      </x:c>
      <x:c r="P138" s="21" t="str">
        <x:v>RAFVG_REGIONAL_TABLE_2023</x:v>
      </x:c>
    </x:row>
    <x:row r="139">
      <x:c r="A139" s="20" t="str">
        <x:v>031004</x:v>
      </x:c>
      <x:c r="B139" s="21" t="str">
        <x:v>Dolegna del Collio</x:v>
      </x:c>
      <x:c r="C139" s="21" t="str">
        <x:v>2023_Q4</x:v>
      </x:c>
      <x:c r="D139" s="24" t="n">
        <x:v>0</x:v>
      </x:c>
      <x:c r="E139" s="24" t="n">
        <x:v>0</x:v>
      </x:c>
      <x:c r="F139" s="24" t="n">
        <x:v>0</x:v>
      </x:c>
      <x:c r="G139" s="24" t="n">
        <x:v>0</x:v>
      </x:c>
      <x:c r="H139" s="24" t="n">
        <x:f>SUM(D139:G139)</x:f>
        <x:v>0</x:v>
      </x:c>
      <x:c r="I139" s="21" t="str">
        <x:v>ZERO_REAL_SOURCE_TABLE</x:v>
      </x:c>
      <x:c r="J139" s="21" t="str">
        <x:v>DOLEGNA DEL COLLIO</x:v>
      </x:c>
      <x:c r="K139" s="21" t="str">
        <x:v>DIRECT_NOMINAL</x:v>
      </x:c>
      <x:c r="L139" s="52" t="n">
        <x:v>45</x:v>
      </x:c>
      <x:c r="M139" s="21" t="str">
        <x:v>RAFVG_PDF_MUNICIPAL_TABLE</x:v>
      </x:c>
      <x:c r="N139" s="21" t="str">
        <x:v>https://www.consiglio.regione.fvg.it/cms/export/sites/consiglio/attivita/valutazione/Relazioni-informative/allegati/CV-LR-29-2005_V.pdf</x:v>
      </x:c>
      <x:c r="O139" s="21" t="str">
        <x:v>REGIONAL_TABLE</x:v>
      </x:c>
      <x:c r="P139" s="21" t="str">
        <x:v>RAFVG_REGIONAL_TABLE_2023</x:v>
      </x:c>
    </x:row>
    <x:row r="140">
      <x:c r="A140" s="20" t="str">
        <x:v>031005</x:v>
      </x:c>
      <x:c r="B140" s="21" t="str">
        <x:v>Farra d'Isonzo</x:v>
      </x:c>
      <x:c r="C140" s="21" t="str">
        <x:v>2023_Q4</x:v>
      </x:c>
      <x:c r="D140" s="24" t="n">
        <x:v>0</x:v>
      </x:c>
      <x:c r="E140" s="24" t="n">
        <x:v>0</x:v>
      </x:c>
      <x:c r="F140" s="24" t="n">
        <x:v>0</x:v>
      </x:c>
      <x:c r="G140" s="24" t="n">
        <x:v>0</x:v>
      </x:c>
      <x:c r="H140" s="24" t="n">
        <x:f>SUM(D140:G140)</x:f>
        <x:v>0</x:v>
      </x:c>
      <x:c r="I140" s="21" t="str">
        <x:v>ZERO_REAL_SOURCE_TABLE</x:v>
      </x:c>
      <x:c r="J140" s="21" t="str">
        <x:v>FARRA D'ISONZO</x:v>
      </x:c>
      <x:c r="K140" s="21" t="str">
        <x:v>DIRECT_NOMINAL</x:v>
      </x:c>
      <x:c r="L140" s="52" t="n">
        <x:v>45</x:v>
      </x:c>
      <x:c r="M140" s="21" t="str">
        <x:v>RAFVG_PDF_MUNICIPAL_TABLE</x:v>
      </x:c>
      <x:c r="N140" s="21" t="str">
        <x:v>https://www.consiglio.regione.fvg.it/cms/export/sites/consiglio/attivita/valutazione/Relazioni-informative/allegati/CV-LR-29-2005_V.pdf</x:v>
      </x:c>
      <x:c r="O140" s="21" t="str">
        <x:v>REGIONAL_TABLE</x:v>
      </x:c>
      <x:c r="P140" s="21" t="str">
        <x:v>RAFVG_REGIONAL_TABLE_2023</x:v>
      </x:c>
    </x:row>
    <x:row r="141">
      <x:c r="A141" s="20" t="str">
        <x:v>031006</x:v>
      </x:c>
      <x:c r="B141" s="21" t="str">
        <x:v>Fogliano Redipuglia</x:v>
      </x:c>
      <x:c r="C141" s="21" t="str">
        <x:v>2023_Q4</x:v>
      </x:c>
      <x:c r="D141" s="24" t="n">
        <x:v>4386</x:v>
      </x:c>
      <x:c r="E141" s="24" t="n">
        <x:v>0</x:v>
      </x:c>
      <x:c r="F141" s="24" t="n">
        <x:v>0</x:v>
      </x:c>
      <x:c r="G141" s="24" t="n">
        <x:v>4493.01</x:v>
      </x:c>
      <x:c r="H141" s="24" t="n">
        <x:f>SUM(D141:G141)</x:f>
        <x:v>8879.01</x:v>
      </x:c>
      <x:c r="I141" s="21" t="str">
        <x:v>OBSERVED_POSITIVE</x:v>
      </x:c>
      <x:c r="J141" s="21" t="str">
        <x:v>FOGLIANO REDIPUGLIA</x:v>
      </x:c>
      <x:c r="K141" s="21" t="str">
        <x:v>DIRECT_NOMINAL</x:v>
      </x:c>
      <x:c r="L141" s="52" t="n">
        <x:v>45</x:v>
      </x:c>
      <x:c r="M141" s="21" t="str">
        <x:v>RAFVG_PDF_MUNICIPAL_TABLE</x:v>
      </x:c>
      <x:c r="N141" s="21" t="str">
        <x:v>https://www.consiglio.regione.fvg.it/cms/export/sites/consiglio/attivita/valutazione/Relazioni-informative/allegati/CV-LR-29-2005_V.pdf</x:v>
      </x:c>
      <x:c r="O141" s="21" t="str">
        <x:v>NOT_ZERO</x:v>
      </x:c>
      <x:c r="P141" s="21" t="str">
        <x:v>RAFVG_REGIONAL_TABLE_2023</x:v>
      </x:c>
    </x:row>
    <x:row r="142">
      <x:c r="A142" s="20" t="str">
        <x:v>031007</x:v>
      </x:c>
      <x:c r="B142" s="21" t="str">
        <x:v>Gorizia</x:v>
      </x:c>
      <x:c r="C142" s="21" t="str">
        <x:v>2023_Q4</x:v>
      </x:c>
      <x:c r="D142" s="24" t="n">
        <x:v>22406</x:v>
      </x:c>
      <x:c r="E142" s="24" t="n">
        <x:v>5800</x:v>
      </x:c>
      <x:c r="F142" s="24" t="n">
        <x:v>2498</x:v>
      </x:c>
      <x:c r="G142" s="24" t="n">
        <x:v>2872</x:v>
      </x:c>
      <x:c r="H142" s="24" t="n">
        <x:f>SUM(D142:G142)</x:f>
        <x:v>33576</x:v>
      </x:c>
      <x:c r="I142" s="21" t="str">
        <x:v>OBSERVED_POSITIVE</x:v>
      </x:c>
      <x:c r="J142" s="21" t="str">
        <x:v>GORIZIA</x:v>
      </x:c>
      <x:c r="K142" s="21" t="str">
        <x:v>DIRECT_NOMINAL</x:v>
      </x:c>
      <x:c r="L142" s="52" t="n">
        <x:v>45</x:v>
      </x:c>
      <x:c r="M142" s="21" t="str">
        <x:v>RAFVG_PDF_MUNICIPAL_TABLE</x:v>
      </x:c>
      <x:c r="N142" s="21" t="str">
        <x:v>https://www.consiglio.regione.fvg.it/cms/export/sites/consiglio/attivita/valutazione/Relazioni-informative/allegati/CV-LR-29-2005_V.pdf</x:v>
      </x:c>
      <x:c r="O142" s="21" t="str">
        <x:v>NOT_ZERO</x:v>
      </x:c>
      <x:c r="P142" s="21" t="str">
        <x:v>RAFVG_REGIONAL_TABLE_2023</x:v>
      </x:c>
    </x:row>
    <x:row r="143">
      <x:c r="A143" s="20" t="str">
        <x:v>031008</x:v>
      </x:c>
      <x:c r="B143" s="21" t="str">
        <x:v>Gradisca d'Isonzo</x:v>
      </x:c>
      <x:c r="C143" s="21" t="str">
        <x:v>2023_Q4</x:v>
      </x:c>
      <x:c r="D143" s="24" t="n">
        <x:v>1950</x:v>
      </x:c>
      <x:c r="E143" s="24" t="n">
        <x:v>3677</x:v>
      </x:c>
      <x:c r="F143" s="24" t="n">
        <x:v>0</x:v>
      </x:c>
      <x:c r="G143" s="24" t="n">
        <x:v>10802</x:v>
      </x:c>
      <x:c r="H143" s="24" t="n">
        <x:f>SUM(D143:G143)</x:f>
        <x:v>16429</x:v>
      </x:c>
      <x:c r="I143" s="21" t="str">
        <x:v>OBSERVED_POSITIVE</x:v>
      </x:c>
      <x:c r="J143" s="21" t="str">
        <x:v>GRADISCA D'ISONZO</x:v>
      </x:c>
      <x:c r="K143" s="21" t="str">
        <x:v>DIRECT_NOMINAL</x:v>
      </x:c>
      <x:c r="L143" s="52" t="n">
        <x:v>45</x:v>
      </x:c>
      <x:c r="M143" s="21" t="str">
        <x:v>RAFVG_PDF_MUNICIPAL_TABLE</x:v>
      </x:c>
      <x:c r="N143" s="21" t="str">
        <x:v>https://www.consiglio.regione.fvg.it/cms/export/sites/consiglio/attivita/valutazione/Relazioni-informative/allegati/CV-LR-29-2005_V.pdf</x:v>
      </x:c>
      <x:c r="O143" s="21" t="str">
        <x:v>NOT_ZERO</x:v>
      </x:c>
      <x:c r="P143" s="21" t="str">
        <x:v>RAFVG_REGIONAL_TABLE_2023</x:v>
      </x:c>
    </x:row>
    <x:row r="144">
      <x:c r="A144" s="20" t="str">
        <x:v>031009</x:v>
      </x:c>
      <x:c r="B144" s="21" t="str">
        <x:v>Grado</x:v>
      </x:c>
      <x:c r="C144" s="21" t="str">
        <x:v>2023_Q4</x:v>
      </x:c>
      <x:c r="D144" s="24" t="n">
        <x:v>1716</x:v>
      </x:c>
      <x:c r="E144" s="24" t="n">
        <x:v>0</x:v>
      </x:c>
      <x:c r="F144" s="24" t="n">
        <x:v>0</x:v>
      </x:c>
      <x:c r="G144" s="24" t="n">
        <x:v>0</x:v>
      </x:c>
      <x:c r="H144" s="24" t="n">
        <x:f>SUM(D144:G144)</x:f>
        <x:v>1716</x:v>
      </x:c>
      <x:c r="I144" s="21" t="str">
        <x:v>OBSERVED_POSITIVE</x:v>
      </x:c>
      <x:c r="J144" s="21" t="str">
        <x:v>GRADO</x:v>
      </x:c>
      <x:c r="K144" s="21" t="str">
        <x:v>DIRECT_NOMINAL</x:v>
      </x:c>
      <x:c r="L144" s="52" t="n">
        <x:v>46</x:v>
      </x:c>
      <x:c r="M144" s="21" t="str">
        <x:v>RAFVG_PDF_MUNICIPAL_TABLE</x:v>
      </x:c>
      <x:c r="N144" s="21" t="str">
        <x:v>https://www.consiglio.regione.fvg.it/cms/export/sites/consiglio/attivita/valutazione/Relazioni-informative/allegati/CV-LR-29-2005_V.pdf</x:v>
      </x:c>
      <x:c r="O144" s="21" t="str">
        <x:v>NOT_ZERO</x:v>
      </x:c>
      <x:c r="P144" s="21" t="str">
        <x:v>RAFVG_REGIONAL_TABLE_2023</x:v>
      </x:c>
    </x:row>
    <x:row r="145">
      <x:c r="A145" s="20" t="str">
        <x:v>031010</x:v>
      </x:c>
      <x:c r="B145" s="21" t="str">
        <x:v>Mariano del Friuli</x:v>
      </x:c>
      <x:c r="C145" s="21" t="str">
        <x:v>2023_Q4</x:v>
      </x:c>
      <x:c r="D145" s="24" t="n">
        <x:v>1098</x:v>
      </x:c>
      <x:c r="E145" s="24" t="n">
        <x:v>0</x:v>
      </x:c>
      <x:c r="F145" s="24" t="n">
        <x:v>0</x:v>
      </x:c>
      <x:c r="G145" s="24" t="n">
        <x:v>0</x:v>
      </x:c>
      <x:c r="H145" s="24" t="n">
        <x:f>SUM(D145:G145)</x:f>
        <x:v>1098</x:v>
      </x:c>
      <x:c r="I145" s="21" t="str">
        <x:v>OBSERVED_POSITIVE</x:v>
      </x:c>
      <x:c r="J145" s="21" t="str">
        <x:v>MARIANO DEL FRIULI</x:v>
      </x:c>
      <x:c r="K145" s="21" t="str">
        <x:v>DIRECT_NOMINAL</x:v>
      </x:c>
      <x:c r="L145" s="52" t="n">
        <x:v>46</x:v>
      </x:c>
      <x:c r="M145" s="21" t="str">
        <x:v>RAFVG_PDF_MUNICIPAL_TABLE</x:v>
      </x:c>
      <x:c r="N145" s="21" t="str">
        <x:v>https://www.consiglio.regione.fvg.it/cms/export/sites/consiglio/attivita/valutazione/Relazioni-informative/allegati/CV-LR-29-2005_V.pdf</x:v>
      </x:c>
      <x:c r="O145" s="21" t="str">
        <x:v>NOT_ZERO</x:v>
      </x:c>
      <x:c r="P145" s="21" t="str">
        <x:v>RAFVG_REGIONAL_TABLE_2023</x:v>
      </x:c>
    </x:row>
    <x:row r="146">
      <x:c r="A146" s="20" t="str">
        <x:v>031011</x:v>
      </x:c>
      <x:c r="B146" s="21" t="str">
        <x:v>Medea</x:v>
      </x:c>
      <x:c r="C146" s="21" t="str">
        <x:v>2023_Q4</x:v>
      </x:c>
      <x:c r="D146" s="24" t="n">
        <x:v>0</x:v>
      </x:c>
      <x:c r="E146" s="24" t="n">
        <x:v>0</x:v>
      </x:c>
      <x:c r="F146" s="24" t="n">
        <x:v>0</x:v>
      </x:c>
      <x:c r="G146" s="24" t="n">
        <x:v>0</x:v>
      </x:c>
      <x:c r="H146" s="24" t="n">
        <x:f>SUM(D146:G146)</x:f>
        <x:v>0</x:v>
      </x:c>
      <x:c r="I146" s="21" t="str">
        <x:v>ZERO_REAL_SOURCE_TABLE</x:v>
      </x:c>
      <x:c r="J146" s="21" t="str">
        <x:v>MEDEA</x:v>
      </x:c>
      <x:c r="K146" s="21" t="str">
        <x:v>DIRECT_NOMINAL</x:v>
      </x:c>
      <x:c r="L146" s="52" t="n">
        <x:v>46</x:v>
      </x:c>
      <x:c r="M146" s="21" t="str">
        <x:v>RAFVG_PDF_MUNICIPAL_TABLE</x:v>
      </x:c>
      <x:c r="N146" s="21" t="str">
        <x:v>https://www.consiglio.regione.fvg.it/cms/export/sites/consiglio/attivita/valutazione/Relazioni-informative/allegati/CV-LR-29-2005_V.pdf</x:v>
      </x:c>
      <x:c r="O146" s="21" t="str">
        <x:v>REGIONAL_TABLE</x:v>
      </x:c>
      <x:c r="P146" s="21" t="str">
        <x:v>RAFVG_REGIONAL_TABLE_2023</x:v>
      </x:c>
    </x:row>
    <x:row r="147">
      <x:c r="A147" s="20" t="str">
        <x:v>031012</x:v>
      </x:c>
      <x:c r="B147" s="21" t="str">
        <x:v>Monfalcone</x:v>
      </x:c>
      <x:c r="C147" s="21" t="str">
        <x:v>2023_Q4</x:v>
      </x:c>
      <x:c r="D147" s="24" t="n">
        <x:v>8526</x:v>
      </x:c>
      <x:c r="E147" s="24" t="n">
        <x:v>4716</x:v>
      </x:c>
      <x:c r="F147" s="24" t="n">
        <x:v>16500</x:v>
      </x:c>
      <x:c r="G147" s="24" t="n">
        <x:v>7748</x:v>
      </x:c>
      <x:c r="H147" s="24" t="n">
        <x:f>SUM(D147:G147)</x:f>
        <x:v>37490</x:v>
      </x:c>
      <x:c r="I147" s="21" t="str">
        <x:v>OBSERVED_POSITIVE</x:v>
      </x:c>
      <x:c r="J147" s="21" t="str">
        <x:v>MONFALCONE</x:v>
      </x:c>
      <x:c r="K147" s="21" t="str">
        <x:v>DIRECT_NOMINAL</x:v>
      </x:c>
      <x:c r="L147" s="52" t="n">
        <x:v>46</x:v>
      </x:c>
      <x:c r="M147" s="21" t="str">
        <x:v>RAFVG_PDF_MUNICIPAL_TABLE</x:v>
      </x:c>
      <x:c r="N147" s="21" t="str">
        <x:v>https://www.consiglio.regione.fvg.it/cms/export/sites/consiglio/attivita/valutazione/Relazioni-informative/allegati/CV-LR-29-2005_V.pdf</x:v>
      </x:c>
      <x:c r="O147" s="21" t="str">
        <x:v>NOT_ZERO</x:v>
      </x:c>
      <x:c r="P147" s="21" t="str">
        <x:v>RAFVG_REGIONAL_TABLE_2023</x:v>
      </x:c>
    </x:row>
    <x:row r="148">
      <x:c r="A148" s="20" t="str">
        <x:v>031013</x:v>
      </x:c>
      <x:c r="B148" s="21" t="str">
        <x:v>Moraro</x:v>
      </x:c>
      <x:c r="C148" s="21" t="str">
        <x:v>2023_Q4</x:v>
      </x:c>
      <x:c r="D148" s="24" t="n">
        <x:v>0</x:v>
      </x:c>
      <x:c r="E148" s="24" t="n">
        <x:v>0</x:v>
      </x:c>
      <x:c r="F148" s="24" t="n">
        <x:v>0</x:v>
      </x:c>
      <x:c r="G148" s="24" t="n">
        <x:v>0</x:v>
      </x:c>
      <x:c r="H148" s="24" t="n">
        <x:f>SUM(D148:G148)</x:f>
        <x:v>0</x:v>
      </x:c>
      <x:c r="I148" s="21" t="str">
        <x:v>ZERO_REAL_SOURCE_TABLE</x:v>
      </x:c>
      <x:c r="J148" s="21" t="str">
        <x:v>MORARO</x:v>
      </x:c>
      <x:c r="K148" s="21" t="str">
        <x:v>DIRECT_NOMINAL</x:v>
      </x:c>
      <x:c r="L148" s="52" t="n">
        <x:v>47</x:v>
      </x:c>
      <x:c r="M148" s="21" t="str">
        <x:v>RAFVG_PDF_MUNICIPAL_TABLE</x:v>
      </x:c>
      <x:c r="N148" s="21" t="str">
        <x:v>https://www.consiglio.regione.fvg.it/cms/export/sites/consiglio/attivita/valutazione/Relazioni-informative/allegati/CV-LR-29-2005_V.pdf</x:v>
      </x:c>
      <x:c r="O148" s="21" t="str">
        <x:v>REGIONAL_TABLE</x:v>
      </x:c>
      <x:c r="P148" s="21" t="str">
        <x:v>RAFVG_REGIONAL_TABLE_2023</x:v>
      </x:c>
    </x:row>
    <x:row r="149">
      <x:c r="A149" s="20" t="str">
        <x:v>031014</x:v>
      </x:c>
      <x:c r="B149" s="21" t="str">
        <x:v>Mossa</x:v>
      </x:c>
      <x:c r="C149" s="21" t="str">
        <x:v>2023_Q4</x:v>
      </x:c>
      <x:c r="D149" s="24" t="n">
        <x:v>0</x:v>
      </x:c>
      <x:c r="E149" s="24" t="n">
        <x:v>0</x:v>
      </x:c>
      <x:c r="F149" s="24" t="n">
        <x:v>0</x:v>
      </x:c>
      <x:c r="G149" s="24" t="n">
        <x:v>0</x:v>
      </x:c>
      <x:c r="H149" s="24" t="n">
        <x:f>SUM(D149:G149)</x:f>
        <x:v>0</x:v>
      </x:c>
      <x:c r="I149" s="21" t="str">
        <x:v>ZERO_REAL_SOURCE_TABLE</x:v>
      </x:c>
      <x:c r="J149" s="21" t="str">
        <x:v>MOSSA</x:v>
      </x:c>
      <x:c r="K149" s="21" t="str">
        <x:v>DIRECT_NOMINAL</x:v>
      </x:c>
      <x:c r="L149" s="52" t="n">
        <x:v>47</x:v>
      </x:c>
      <x:c r="M149" s="21" t="str">
        <x:v>RAFVG_PDF_MUNICIPAL_TABLE</x:v>
      </x:c>
      <x:c r="N149" s="21" t="str">
        <x:v>https://www.consiglio.regione.fvg.it/cms/export/sites/consiglio/attivita/valutazione/Relazioni-informative/allegati/CV-LR-29-2005_V.pdf</x:v>
      </x:c>
      <x:c r="O149" s="21" t="str">
        <x:v>REGIONAL_TABLE</x:v>
      </x:c>
      <x:c r="P149" s="21" t="str">
        <x:v>RAFVG_REGIONAL_TABLE_2023</x:v>
      </x:c>
    </x:row>
    <x:row r="150">
      <x:c r="A150" s="20" t="str">
        <x:v>031015</x:v>
      </x:c>
      <x:c r="B150" s="21" t="str">
        <x:v>Romans d'Isonzo</x:v>
      </x:c>
      <x:c r="C150" s="21" t="str">
        <x:v>2018_Q1</x:v>
      </x:c>
      <x:c r="D150" s="24" t="n">
        <x:v>0</x:v>
      </x:c>
      <x:c r="E150" s="24" t="n">
        <x:v>0</x:v>
      </x:c>
      <x:c r="F150" s="24" t="n">
        <x:v>0</x:v>
      </x:c>
      <x:c r="G150" s="24" t="n">
        <x:v>0</x:v>
      </x:c>
      <x:c r="H150" s="24" t="n">
        <x:f>SUM(D150:G150)</x:f>
        <x:v>0</x:v>
      </x:c>
      <x:c r="I150" s="21" t="str">
        <x:v>ZERO_REAL_SOURCE_TABLE</x:v>
      </x:c>
      <x:c r="J150" s="21" t="str">
        <x:v>ROMANS D'ISONZO</x:v>
      </x:c>
      <x:c r="K150" s="21" t="str">
        <x:v>DIRECT_NOMINAL</x:v>
      </x:c>
      <x:c r="L150" s="52" t="n">
        <x:v>47</x:v>
      </x:c>
      <x:c r="M150" s="21" t="str">
        <x:v>RAFVG_PDF_MUNICIPAL_TABLE</x:v>
      </x:c>
      <x:c r="N150" s="21" t="str">
        <x:v>https://www.consiglio.regione.fvg.it/cms/export/sites/consiglio/attivita/valutazione/Relazioni-informative/allegati/CV-LR-29-2005_V.pdf</x:v>
      </x:c>
      <x:c r="O150" s="21" t="str">
        <x:v>REGIONAL_TABLE</x:v>
      </x:c>
      <x:c r="P150" s="21" t="str">
        <x:v>RAFVG_REGIONAL_TABLE_2023</x:v>
      </x:c>
    </x:row>
    <x:row r="151">
      <x:c r="A151" s="20" t="str">
        <x:v>031016</x:v>
      </x:c>
      <x:c r="B151" s="21" t="str">
        <x:v>Ronchi dei Legionari</x:v>
      </x:c>
      <x:c r="C151" s="21" t="str">
        <x:v>2023_Q4</x:v>
      </x:c>
      <x:c r="D151" s="24" t="n">
        <x:v>4170.2</x:v>
      </x:c>
      <x:c r="E151" s="24" t="n">
        <x:v>4910</x:v>
      </x:c>
      <x:c r="F151" s="24" t="n">
        <x:v>12000</x:v>
      </x:c>
      <x:c r="G151" s="24" t="n">
        <x:v>0</x:v>
      </x:c>
      <x:c r="H151" s="24" t="n">
        <x:f>SUM(D151:G151)</x:f>
        <x:v>21080.2</x:v>
      </x:c>
      <x:c r="I151" s="21" t="str">
        <x:v>OBSERVED_POSITIVE</x:v>
      </x:c>
      <x:c r="J151" s="21" t="str">
        <x:v>RONCHI DEI LEGIONARI</x:v>
      </x:c>
      <x:c r="K151" s="21" t="str">
        <x:v>DIRECT_NOMINAL</x:v>
      </x:c>
      <x:c r="L151" s="52" t="n">
        <x:v>47</x:v>
      </x:c>
      <x:c r="M151" s="21" t="str">
        <x:v>RAFVG_PDF_MUNICIPAL_TABLE</x:v>
      </x:c>
      <x:c r="N151" s="21" t="str">
        <x:v>https://www.consiglio.regione.fvg.it/cms/export/sites/consiglio/attivita/valutazione/Relazioni-informative/allegati/CV-LR-29-2005_V.pdf</x:v>
      </x:c>
      <x:c r="O151" s="21" t="str">
        <x:v>NOT_ZERO</x:v>
      </x:c>
      <x:c r="P151" s="21" t="str">
        <x:v>RAFVG_REGIONAL_TABLE_2023</x:v>
      </x:c>
    </x:row>
    <x:row r="152">
      <x:c r="A152" s="20" t="str">
        <x:v>031017</x:v>
      </x:c>
      <x:c r="B152" s="21" t="str">
        <x:v>Sagrado</x:v>
      </x:c>
      <x:c r="C152" s="21" t="str">
        <x:v>2023_Q4</x:v>
      </x:c>
      <x:c r="D152" s="24" t="n">
        <x:v>0</x:v>
      </x:c>
      <x:c r="E152" s="24" t="n">
        <x:v>0</x:v>
      </x:c>
      <x:c r="F152" s="24" t="n">
        <x:v>0</x:v>
      </x:c>
      <x:c r="G152" s="24" t="n">
        <x:v>0</x:v>
      </x:c>
      <x:c r="H152" s="24" t="n">
        <x:f>SUM(D152:G152)</x:f>
        <x:v>0</x:v>
      </x:c>
      <x:c r="I152" s="21" t="str">
        <x:v>ZERO_REAL_SOURCE_TABLE</x:v>
      </x:c>
      <x:c r="J152" s="21" t="str">
        <x:v>SAGRADO</x:v>
      </x:c>
      <x:c r="K152" s="21" t="str">
        <x:v>DIRECT_NOMINAL</x:v>
      </x:c>
      <x:c r="L152" s="52" t="n">
        <x:v>48</x:v>
      </x:c>
      <x:c r="M152" s="21" t="str">
        <x:v>RAFVG_PDF_MUNICIPAL_TABLE</x:v>
      </x:c>
      <x:c r="N152" s="21" t="str">
        <x:v>https://www.consiglio.regione.fvg.it/cms/export/sites/consiglio/attivita/valutazione/Relazioni-informative/allegati/CV-LR-29-2005_V.pdf</x:v>
      </x:c>
      <x:c r="O152" s="21" t="str">
        <x:v>REGIONAL_TABLE</x:v>
      </x:c>
      <x:c r="P152" s="21" t="str">
        <x:v>RAFVG_REGIONAL_TABLE_2023</x:v>
      </x:c>
    </x:row>
    <x:row r="153">
      <x:c r="A153" s="20" t="str">
        <x:v>031018</x:v>
      </x:c>
      <x:c r="B153" s="21" t="str">
        <x:v>San Canzian d'Isonzo</x:v>
      </x:c>
      <x:c r="C153" s="21" t="str">
        <x:v>2023_Q4</x:v>
      </x:c>
      <x:c r="D153" s="24" t="n">
        <x:v>0</x:v>
      </x:c>
      <x:c r="E153" s="24" t="n">
        <x:v>0</x:v>
      </x:c>
      <x:c r="F153" s="24" t="n">
        <x:v>0</x:v>
      </x:c>
      <x:c r="G153" s="24" t="n">
        <x:v>0</x:v>
      </x:c>
      <x:c r="H153" s="24" t="n">
        <x:f>SUM(D153:G153)</x:f>
        <x:v>0</x:v>
      </x:c>
      <x:c r="I153" s="21" t="str">
        <x:v>ZERO_REAL_SOURCE_TABLE</x:v>
      </x:c>
      <x:c r="J153" s="21" t="str">
        <x:v>SAN CANZIAN D'ISONZO</x:v>
      </x:c>
      <x:c r="K153" s="21" t="str">
        <x:v>DIRECT_NOMINAL</x:v>
      </x:c>
      <x:c r="L153" s="52" t="n">
        <x:v>48</x:v>
      </x:c>
      <x:c r="M153" s="21" t="str">
        <x:v>RAFVG_PDF_MUNICIPAL_TABLE</x:v>
      </x:c>
      <x:c r="N153" s="21" t="str">
        <x:v>https://www.consiglio.regione.fvg.it/cms/export/sites/consiglio/attivita/valutazione/Relazioni-informative/allegati/CV-LR-29-2005_V.pdf</x:v>
      </x:c>
      <x:c r="O153" s="21" t="str">
        <x:v>REGIONAL_TABLE</x:v>
      </x:c>
      <x:c r="P153" s="21" t="str">
        <x:v>RAFVG_REGIONAL_TABLE_2023</x:v>
      </x:c>
    </x:row>
    <x:row r="154">
      <x:c r="A154" s="20" t="str">
        <x:v>031019</x:v>
      </x:c>
      <x:c r="B154" s="21" t="str">
        <x:v>San Floriano del Collio-Števerjan</x:v>
      </x:c>
      <x:c r="C154" s="21" t="str">
        <x:v>2023</x:v>
      </x:c>
      <x:c r="D154" s="24" t="n">
        <x:v>0</x:v>
      </x:c>
      <x:c r="E154" s="24" t="n">
        <x:v>0</x:v>
      </x:c>
      <x:c r="F154" s="24" t="n">
        <x:v>0</x:v>
      </x:c>
      <x:c r="G154" s="24" t="n">
        <x:v>0</x:v>
      </x:c>
      <x:c r="H154" s="24" t="n">
        <x:f>SUM(D154:G154)</x:f>
        <x:v>0</x:v>
      </x:c>
      <x:c r="I154" s="21" t="str">
        <x:v>ZERO_REAL_EXTERNAL_2023</x:v>
      </x:c>
      <x:c r="J154" s="21" t="str"/>
      <x:c r="K154" s="21" t="str">
        <x:v>EXTERNAL_ZERO_RESOLUTION</x:v>
      </x:c>
      <x:c r="L154" s="52"/>
      <x:c r="M154" s="21" t="str">
        <x:v>CCIAA Venezia Giulia / TradeView: San Floriano del Collio, 2023, superficie di vendita = 0 mq</x:v>
      </x:c>
      <x:c r="N154" s="21" t="str">
        <x:v>https://vg.camcom.it/sites/default/files/page/allegati/6%20-commercio%20interno%20GO%202024.pdf</x:v>
      </x:c>
      <x:c r="O154" s="21" t="str">
        <x:v>EXTERNAL_EVIDENCE</x:v>
      </x:c>
      <x:c r="P154" s="21" t="str">
        <x:v>EXTERNAL_EVIDENCE_2023</x:v>
      </x:c>
    </x:row>
    <x:row r="155">
      <x:c r="A155" s="20" t="str">
        <x:v>031020</x:v>
      </x:c>
      <x:c r="B155" s="21" t="str">
        <x:v>San Lorenzo Isontino</x:v>
      </x:c>
      <x:c r="C155" s="21" t="str">
        <x:v>2023_Q4</x:v>
      </x:c>
      <x:c r="D155" s="24" t="n">
        <x:v>561</x:v>
      </x:c>
      <x:c r="E155" s="24" t="n">
        <x:v>0</x:v>
      </x:c>
      <x:c r="F155" s="24" t="n">
        <x:v>0</x:v>
      </x:c>
      <x:c r="G155" s="24" t="n">
        <x:v>0</x:v>
      </x:c>
      <x:c r="H155" s="24" t="n">
        <x:f>SUM(D155:G155)</x:f>
        <x:v>561</x:v>
      </x:c>
      <x:c r="I155" s="21" t="str">
        <x:v>OBSERVED_POSITIVE</x:v>
      </x:c>
      <x:c r="J155" s="21" t="str">
        <x:v>SAN LORENZO ISONTINO</x:v>
      </x:c>
      <x:c r="K155" s="21" t="str">
        <x:v>DIRECT_NOMINAL</x:v>
      </x:c>
      <x:c r="L155" s="52" t="n">
        <x:v>48</x:v>
      </x:c>
      <x:c r="M155" s="21" t="str">
        <x:v>RAFVG_PDF_MUNICIPAL_TABLE</x:v>
      </x:c>
      <x:c r="N155" s="21" t="str">
        <x:v>https://www.consiglio.regione.fvg.it/cms/export/sites/consiglio/attivita/valutazione/Relazioni-informative/allegati/CV-LR-29-2005_V.pdf</x:v>
      </x:c>
      <x:c r="O155" s="21" t="str">
        <x:v>NOT_ZERO</x:v>
      </x:c>
      <x:c r="P155" s="21" t="str">
        <x:v>RAFVG_REGIONAL_TABLE_2023</x:v>
      </x:c>
    </x:row>
    <x:row r="156">
      <x:c r="A156" s="20" t="str">
        <x:v>031021</x:v>
      </x:c>
      <x:c r="B156" s="21" t="str">
        <x:v>San Pier d'Isonzo</x:v>
      </x:c>
      <x:c r="C156" s="21" t="str">
        <x:v>2023_Q4</x:v>
      </x:c>
      <x:c r="D156" s="24" t="n">
        <x:v>0</x:v>
      </x:c>
      <x:c r="E156" s="24" t="n">
        <x:v>0</x:v>
      </x:c>
      <x:c r="F156" s="24" t="n">
        <x:v>0</x:v>
      </x:c>
      <x:c r="G156" s="24" t="n">
        <x:v>0</x:v>
      </x:c>
      <x:c r="H156" s="24" t="n">
        <x:f>SUM(D156:G156)</x:f>
        <x:v>0</x:v>
      </x:c>
      <x:c r="I156" s="21" t="str">
        <x:v>ZERO_REAL_SOURCE_TABLE</x:v>
      </x:c>
      <x:c r="J156" s="21" t="str">
        <x:v>SAN PIER D'ISONZO</x:v>
      </x:c>
      <x:c r="K156" s="21" t="str">
        <x:v>DIRECT_NOMINAL</x:v>
      </x:c>
      <x:c r="L156" s="52" t="n">
        <x:v>48</x:v>
      </x:c>
      <x:c r="M156" s="21" t="str">
        <x:v>RAFVG_PDF_MUNICIPAL_TABLE</x:v>
      </x:c>
      <x:c r="N156" s="21" t="str">
        <x:v>https://www.consiglio.regione.fvg.it/cms/export/sites/consiglio/attivita/valutazione/Relazioni-informative/allegati/CV-LR-29-2005_V.pdf</x:v>
      </x:c>
      <x:c r="O156" s="21" t="str">
        <x:v>REGIONAL_TABLE</x:v>
      </x:c>
      <x:c r="P156" s="21" t="str">
        <x:v>RAFVG_REGIONAL_TABLE_2023</x:v>
      </x:c>
    </x:row>
    <x:row r="157">
      <x:c r="A157" s="20" t="str">
        <x:v>031022</x:v>
      </x:c>
      <x:c r="B157" s="21" t="str">
        <x:v>Savogna d'Isonzo-Sovodnje ob Soči</x:v>
      </x:c>
      <x:c r="C157" s="21" t="str">
        <x:v>2023_Q4</x:v>
      </x:c>
      <x:c r="D157" s="24" t="n">
        <x:v>1200</x:v>
      </x:c>
      <x:c r="E157" s="24" t="n">
        <x:v>0</x:v>
      </x:c>
      <x:c r="F157" s="24" t="n">
        <x:v>0</x:v>
      </x:c>
      <x:c r="G157" s="24" t="n">
        <x:v>0</x:v>
      </x:c>
      <x:c r="H157" s="24" t="n">
        <x:f>SUM(D157:G157)</x:f>
        <x:v>1200</x:v>
      </x:c>
      <x:c r="I157" s="21" t="str">
        <x:v>OBSERVED_POSITIVE</x:v>
      </x:c>
      <x:c r="J157" s="21" t="str">
        <x:v>SAVOGNA D'ISONZO</x:v>
      </x:c>
      <x:c r="K157" s="21" t="str">
        <x:v>ALIAS_DETERMINISTIC</x:v>
      </x:c>
      <x:c r="L157" s="52" t="n">
        <x:v>48</x:v>
      </x:c>
      <x:c r="M157" s="21" t="str">
        <x:v>RAFVG_PDF_MUNICIPAL_TABLE</x:v>
      </x:c>
      <x:c r="N157" s="21" t="str">
        <x:v>https://www.consiglio.regione.fvg.it/cms/export/sites/consiglio/attivita/valutazione/Relazioni-informative/allegati/CV-LR-29-2005_V.pdf</x:v>
      </x:c>
      <x:c r="O157" s="21" t="str">
        <x:v>NOT_ZERO</x:v>
      </x:c>
      <x:c r="P157" s="21" t="str">
        <x:v>RAFVG_REGIONAL_TABLE_2023</x:v>
      </x:c>
    </x:row>
    <x:row r="158">
      <x:c r="A158" s="20" t="str">
        <x:v>031023</x:v>
      </x:c>
      <x:c r="B158" s="21" t="str">
        <x:v>Staranzano</x:v>
      </x:c>
      <x:c r="C158" s="21" t="str">
        <x:v>2023_Q4</x:v>
      </x:c>
      <x:c r="D158" s="24" t="n">
        <x:v>2467</x:v>
      </x:c>
      <x:c r="E158" s="24" t="n">
        <x:v>2188</x:v>
      </x:c>
      <x:c r="F158" s="24" t="n">
        <x:v>0</x:v>
      </x:c>
      <x:c r="G158" s="24" t="n">
        <x:v>0</x:v>
      </x:c>
      <x:c r="H158" s="24" t="n">
        <x:f>SUM(D158:G158)</x:f>
        <x:v>4655</x:v>
      </x:c>
      <x:c r="I158" s="21" t="str">
        <x:v>OBSERVED_POSITIVE</x:v>
      </x:c>
      <x:c r="J158" s="21" t="str">
        <x:v>STARANZANO</x:v>
      </x:c>
      <x:c r="K158" s="21" t="str">
        <x:v>DIRECT_NOMINAL</x:v>
      </x:c>
      <x:c r="L158" s="52" t="n">
        <x:v>49</x:v>
      </x:c>
      <x:c r="M158" s="21" t="str">
        <x:v>RAFVG_PDF_MUNICIPAL_TABLE</x:v>
      </x:c>
      <x:c r="N158" s="21" t="str">
        <x:v>https://www.consiglio.regione.fvg.it/cms/export/sites/consiglio/attivita/valutazione/Relazioni-informative/allegati/CV-LR-29-2005_V.pdf</x:v>
      </x:c>
      <x:c r="O158" s="21" t="str">
        <x:v>NOT_ZERO</x:v>
      </x:c>
      <x:c r="P158" s="21" t="str">
        <x:v>RAFVG_REGIONAL_TABLE_2023</x:v>
      </x:c>
    </x:row>
    <x:row r="159">
      <x:c r="A159" s="20" t="str">
        <x:v>031024</x:v>
      </x:c>
      <x:c r="B159" s="21" t="str">
        <x:v>Turriaco</x:v>
      </x:c>
      <x:c r="C159" s="21" t="str">
        <x:v>2023_Q4</x:v>
      </x:c>
      <x:c r="D159" s="24" t="n">
        <x:v>0</x:v>
      </x:c>
      <x:c r="E159" s="24" t="n">
        <x:v>0</x:v>
      </x:c>
      <x:c r="F159" s="24" t="n">
        <x:v>0</x:v>
      </x:c>
      <x:c r="G159" s="24" t="n">
        <x:v>0</x:v>
      </x:c>
      <x:c r="H159" s="24" t="n">
        <x:f>SUM(D159:G159)</x:f>
        <x:v>0</x:v>
      </x:c>
      <x:c r="I159" s="21" t="str">
        <x:v>ZERO_REAL_SOURCE_TABLE</x:v>
      </x:c>
      <x:c r="J159" s="21" t="str">
        <x:v>TURRIACO</x:v>
      </x:c>
      <x:c r="K159" s="21" t="str">
        <x:v>DIRECT_NOMINAL</x:v>
      </x:c>
      <x:c r="L159" s="52" t="n">
        <x:v>49</x:v>
      </x:c>
      <x:c r="M159" s="21" t="str">
        <x:v>RAFVG_PDF_MUNICIPAL_TABLE</x:v>
      </x:c>
      <x:c r="N159" s="21" t="str">
        <x:v>https://www.consiglio.regione.fvg.it/cms/export/sites/consiglio/attivita/valutazione/Relazioni-informative/allegati/CV-LR-29-2005_V.pdf</x:v>
      </x:c>
      <x:c r="O159" s="21" t="str">
        <x:v>REGIONAL_TABLE</x:v>
      </x:c>
      <x:c r="P159" s="21" t="str">
        <x:v>RAFVG_REGIONAL_TABLE_2023</x:v>
      </x:c>
    </x:row>
    <x:row r="160">
      <x:c r="A160" s="20" t="str">
        <x:v>031025</x:v>
      </x:c>
      <x:c r="B160" s="21" t="str">
        <x:v>Villesse</x:v>
      </x:c>
      <x:c r="C160" s="21" t="str">
        <x:v>2023_Q4</x:v>
      </x:c>
      <x:c r="D160" s="24" t="n">
        <x:v>705</x:v>
      </x:c>
      <x:c r="E160" s="24" t="n">
        <x:v>0</x:v>
      </x:c>
      <x:c r="F160" s="24" t="n">
        <x:v>0</x:v>
      </x:c>
      <x:c r="G160" s="24" t="n">
        <x:v>54300.88</x:v>
      </x:c>
      <x:c r="H160" s="24" t="n">
        <x:f>SUM(D160:G160)</x:f>
        <x:v>55005.88</x:v>
      </x:c>
      <x:c r="I160" s="21" t="str">
        <x:v>OBSERVED_POSITIVE</x:v>
      </x:c>
      <x:c r="J160" s="21" t="str">
        <x:v>VILLESSE</x:v>
      </x:c>
      <x:c r="K160" s="21" t="str">
        <x:v>DIRECT_NOMINAL</x:v>
      </x:c>
      <x:c r="L160" s="52" t="n">
        <x:v>49</x:v>
      </x:c>
      <x:c r="M160" s="21" t="str">
        <x:v>RAFVG_PDF_MUNICIPAL_TABLE</x:v>
      </x:c>
      <x:c r="N160" s="21" t="str">
        <x:v>https://www.consiglio.regione.fvg.it/cms/export/sites/consiglio/attivita/valutazione/Relazioni-informative/allegati/CV-LR-29-2005_V.pdf</x:v>
      </x:c>
      <x:c r="O160" s="21" t="str">
        <x:v>NOT_ZERO</x:v>
      </x:c>
      <x:c r="P160" s="21" t="str">
        <x:v>RAFVG_REGIONAL_TABLE_2023</x:v>
      </x:c>
    </x:row>
    <x:row r="161">
      <x:c r="A161" s="20" t="str">
        <x:v>032001</x:v>
      </x:c>
      <x:c r="B161" s="21" t="str">
        <x:v>Duino Aurisina-Devin Nabrežina</x:v>
      </x:c>
      <x:c r="C161" s="21" t="str">
        <x:v>2023_Q4</x:v>
      </x:c>
      <x:c r="D161" s="24" t="n">
        <x:v>900</x:v>
      </x:c>
      <x:c r="E161" s="24" t="n">
        <x:v>4494</x:v>
      </x:c>
      <x:c r="F161" s="24" t="n">
        <x:v>0</x:v>
      </x:c>
      <x:c r="G161" s="24" t="n">
        <x:v>0</x:v>
      </x:c>
      <x:c r="H161" s="24" t="n">
        <x:f>SUM(D161:G161)</x:f>
        <x:v>5394</x:v>
      </x:c>
      <x:c r="I161" s="21" t="str">
        <x:v>OBSERVED_POSITIVE</x:v>
      </x:c>
      <x:c r="J161" s="21" t="str">
        <x:v>DUINO-AURISINA</x:v>
      </x:c>
      <x:c r="K161" s="21" t="str">
        <x:v>ALIAS_DETERMINISTIC</x:v>
      </x:c>
      <x:c r="L161" s="52" t="n">
        <x:v>62</x:v>
      </x:c>
      <x:c r="M161" s="21" t="str">
        <x:v>RAFVG_PDF_MUNICIPAL_TABLE</x:v>
      </x:c>
      <x:c r="N161" s="21" t="str">
        <x:v>https://www.consiglio.regione.fvg.it/cms/export/sites/consiglio/attivita/valutazione/Relazioni-informative/allegati/CV-LR-29-2005_V.pdf</x:v>
      </x:c>
      <x:c r="O161" s="21" t="str">
        <x:v>NOT_ZERO</x:v>
      </x:c>
      <x:c r="P161" s="21" t="str">
        <x:v>RAFVG_REGIONAL_TABLE_2023</x:v>
      </x:c>
    </x:row>
    <x:row r="162">
      <x:c r="A162" s="20" t="str">
        <x:v>032002</x:v>
      </x:c>
      <x:c r="B162" s="21" t="str">
        <x:v>Monrupino-Repentabor</x:v>
      </x:c>
      <x:c r="C162" s="21" t="str">
        <x:v>2023_Q4</x:v>
      </x:c>
      <x:c r="D162" s="24" t="n">
        <x:v>0</x:v>
      </x:c>
      <x:c r="E162" s="24" t="n">
        <x:v>0</x:v>
      </x:c>
      <x:c r="F162" s="24" t="n">
        <x:v>0</x:v>
      </x:c>
      <x:c r="G162" s="24" t="n">
        <x:v>0</x:v>
      </x:c>
      <x:c r="H162" s="24" t="n">
        <x:f>SUM(D162:G162)</x:f>
        <x:v>0</x:v>
      </x:c>
      <x:c r="I162" s="21" t="str">
        <x:v>ZERO_REAL_SOURCE_TABLE</x:v>
      </x:c>
      <x:c r="J162" s="21" t="str">
        <x:v>MONRUPINO</x:v>
      </x:c>
      <x:c r="K162" s="21" t="str">
        <x:v>ALIAS_DETERMINISTIC</x:v>
      </x:c>
      <x:c r="L162" s="52" t="n">
        <x:v>62</x:v>
      </x:c>
      <x:c r="M162" s="21" t="str">
        <x:v>RAFVG_PDF_MUNICIPAL_TABLE</x:v>
      </x:c>
      <x:c r="N162" s="21" t="str">
        <x:v>https://www.consiglio.regione.fvg.it/cms/export/sites/consiglio/attivita/valutazione/Relazioni-informative/allegati/CV-LR-29-2005_V.pdf</x:v>
      </x:c>
      <x:c r="O162" s="21" t="str">
        <x:v>REGIONAL_TABLE</x:v>
      </x:c>
      <x:c r="P162" s="21" t="str">
        <x:v>RAFVG_REGIONAL_TABLE_2023</x:v>
      </x:c>
    </x:row>
    <x:row r="163">
      <x:c r="A163" s="20" t="str">
        <x:v>032003</x:v>
      </x:c>
      <x:c r="B163" s="21" t="str">
        <x:v>Muggia</x:v>
      </x:c>
      <x:c r="C163" s="21" t="str">
        <x:v>2023_Q4</x:v>
      </x:c>
      <x:c r="D163" s="24" t="n">
        <x:v>8023</x:v>
      </x:c>
      <x:c r="E163" s="24" t="n">
        <x:v>9032</x:v>
      </x:c>
      <x:c r="F163" s="24" t="n">
        <x:v>33600</x:v>
      </x:c>
      <x:c r="G163" s="24" t="n">
        <x:v>0</x:v>
      </x:c>
      <x:c r="H163" s="24" t="n">
        <x:f>SUM(D163:G163)</x:f>
        <x:v>50655</x:v>
      </x:c>
      <x:c r="I163" s="21" t="str">
        <x:v>OBSERVED_POSITIVE</x:v>
      </x:c>
      <x:c r="J163" s="21" t="str">
        <x:v>MUGGIA</x:v>
      </x:c>
      <x:c r="K163" s="21" t="str">
        <x:v>DIRECT_NOMINAL</x:v>
      </x:c>
      <x:c r="L163" s="52" t="n">
        <x:v>62</x:v>
      </x:c>
      <x:c r="M163" s="21" t="str">
        <x:v>RAFVG_PDF_MUNICIPAL_TABLE</x:v>
      </x:c>
      <x:c r="N163" s="21" t="str">
        <x:v>https://www.consiglio.regione.fvg.it/cms/export/sites/consiglio/attivita/valutazione/Relazioni-informative/allegati/CV-LR-29-2005_V.pdf</x:v>
      </x:c>
      <x:c r="O163" s="21" t="str">
        <x:v>NOT_ZERO</x:v>
      </x:c>
      <x:c r="P163" s="21" t="str">
        <x:v>RAFVG_REGIONAL_TABLE_2023</x:v>
      </x:c>
    </x:row>
    <x:row r="164">
      <x:c r="A164" s="20" t="str">
        <x:v>032004</x:v>
      </x:c>
      <x:c r="B164" s="21" t="str">
        <x:v>San Dorligo della Valle-Dolina</x:v>
      </x:c>
      <x:c r="C164" s="21" t="str">
        <x:v>2023_Q4</x:v>
      </x:c>
      <x:c r="D164" s="24" t="n">
        <x:v>805</x:v>
      </x:c>
      <x:c r="E164" s="24" t="n">
        <x:v>0</x:v>
      </x:c>
      <x:c r="F164" s="24" t="n">
        <x:v>0</x:v>
      </x:c>
      <x:c r="G164" s="24" t="n">
        <x:v>0</x:v>
      </x:c>
      <x:c r="H164" s="24" t="n">
        <x:f>SUM(D164:G164)</x:f>
        <x:v>805</x:v>
      </x:c>
      <x:c r="I164" s="21" t="str">
        <x:v>OBSERVED_POSITIVE</x:v>
      </x:c>
      <x:c r="J164" s="21" t="str">
        <x:v>SAN DORLIGO DELLA VALLE</x:v>
      </x:c>
      <x:c r="K164" s="21" t="str">
        <x:v>ALIAS_DETERMINISTIC</x:v>
      </x:c>
      <x:c r="L164" s="52" t="n">
        <x:v>62</x:v>
      </x:c>
      <x:c r="M164" s="21" t="str">
        <x:v>RAFVG_PDF_MUNICIPAL_TABLE</x:v>
      </x:c>
      <x:c r="N164" s="21" t="str">
        <x:v>https://www.consiglio.regione.fvg.it/cms/export/sites/consiglio/attivita/valutazione/Relazioni-informative/allegati/CV-LR-29-2005_V.pdf</x:v>
      </x:c>
      <x:c r="O164" s="21" t="str">
        <x:v>NOT_ZERO</x:v>
      </x:c>
      <x:c r="P164" s="21" t="str">
        <x:v>RAFVG_REGIONAL_TABLE_2023</x:v>
      </x:c>
    </x:row>
    <x:row r="165">
      <x:c r="A165" s="20" t="str">
        <x:v>032005</x:v>
      </x:c>
      <x:c r="B165" s="21" t="str">
        <x:v>Sgonico-Zgonik</x:v>
      </x:c>
      <x:c r="C165" s="21" t="str">
        <x:v>2023_Q4</x:v>
      </x:c>
      <x:c r="D165" s="24" t="n">
        <x:v>2180</x:v>
      </x:c>
      <x:c r="E165" s="24" t="n">
        <x:v>0</x:v>
      </x:c>
      <x:c r="F165" s="24" t="n">
        <x:v>0</x:v>
      </x:c>
      <x:c r="G165" s="24" t="n">
        <x:v>0</x:v>
      </x:c>
      <x:c r="H165" s="24" t="n">
        <x:f>SUM(D165:G165)</x:f>
        <x:v>2180</x:v>
      </x:c>
      <x:c r="I165" s="21" t="str">
        <x:v>OBSERVED_POSITIVE</x:v>
      </x:c>
      <x:c r="J165" s="21" t="str">
        <x:v>SGONICO</x:v>
      </x:c>
      <x:c r="K165" s="21" t="str">
        <x:v>ALIAS_DETERMINISTIC</x:v>
      </x:c>
      <x:c r="L165" s="52" t="n">
        <x:v>63</x:v>
      </x:c>
      <x:c r="M165" s="21" t="str">
        <x:v>RAFVG_PDF_MUNICIPAL_TABLE</x:v>
      </x:c>
      <x:c r="N165" s="21" t="str">
        <x:v>https://www.consiglio.regione.fvg.it/cms/export/sites/consiglio/attivita/valutazione/Relazioni-informative/allegati/CV-LR-29-2005_V.pdf</x:v>
      </x:c>
      <x:c r="O165" s="21" t="str">
        <x:v>NOT_ZERO</x:v>
      </x:c>
      <x:c r="P165" s="21" t="str">
        <x:v>RAFVG_REGIONAL_TABLE_2023</x:v>
      </x:c>
    </x:row>
    <x:row r="166">
      <x:c r="A166" s="20" t="str">
        <x:v>032006</x:v>
      </x:c>
      <x:c r="B166" s="21" t="str">
        <x:v>Trieste</x:v>
      </x:c>
      <x:c r="C166" s="21" t="str">
        <x:v>2023_Q4_SELECTED_CATEGORIES</x:v>
      </x:c>
      <x:c r="D166" s="24" t="n">
        <x:v>55231.28</x:v>
      </x:c>
      <x:c r="E166" s="24" t="n">
        <x:v>35167</x:v>
      </x:c>
      <x:c r="F166" s="24" t="n">
        <x:v>30322</x:v>
      </x:c>
      <x:c r="G166" s="24" t="n">
        <x:v>6319</x:v>
      </x:c>
      <x:c r="H166" s="24" t="n">
        <x:f>SUM(D166:G166)</x:f>
        <x:v>127039.28</x:v>
      </x:c>
      <x:c r="I166" s="21" t="str">
        <x:v>OBSERVED_POSITIVE</x:v>
      </x:c>
      <x:c r="J166" s="21" t="str">
        <x:v>TRIESTE</x:v>
      </x:c>
      <x:c r="K166" s="21" t="str">
        <x:v>DIRECT_NOMINAL</x:v>
      </x:c>
      <x:c r="L166" s="52" t="n">
        <x:v>63</x:v>
      </x:c>
      <x:c r="M166" s="21" t="str">
        <x:v>RAFVG_PDF_MUNICIPAL_TABLE</x:v>
      </x:c>
      <x:c r="N166" s="21" t="str">
        <x:v>https://www.consiglio.regione.fvg.it/cms/export/sites/consiglio/attivita/valutazione/Relazioni-informative/allegati/CV-LR-29-2005_V.pdf</x:v>
      </x:c>
      <x:c r="O166" s="21" t="str">
        <x:v>NOT_ZERO</x:v>
      </x:c>
      <x:c r="P166" s="21" t="str">
        <x:v>RAFVG_REGIONAL_TABLE_2023</x:v>
      </x:c>
    </x:row>
    <x:row r="167">
      <x:c r="A167" s="20" t="str">
        <x:v>093001</x:v>
      </x:c>
      <x:c r="B167" s="21" t="str">
        <x:v>Andreis</x:v>
      </x:c>
      <x:c r="C167" s="21" t="str">
        <x:v>2023_Q4</x:v>
      </x:c>
      <x:c r="D167" s="24" t="n">
        <x:v>0</x:v>
      </x:c>
      <x:c r="E167" s="24" t="n">
        <x:v>0</x:v>
      </x:c>
      <x:c r="F167" s="24" t="n">
        <x:v>0</x:v>
      </x:c>
      <x:c r="G167" s="24" t="n">
        <x:v>0</x:v>
      </x:c>
      <x:c r="H167" s="24" t="n">
        <x:f>SUM(D167:G167)</x:f>
        <x:v>0</x:v>
      </x:c>
      <x:c r="I167" s="21" t="str">
        <x:v>ZERO_REAL_SOURCE_TABLE</x:v>
      </x:c>
      <x:c r="J167" s="21" t="str">
        <x:v>ANDREIS</x:v>
      </x:c>
      <x:c r="K167" s="21" t="str">
        <x:v>DIRECT_NOMINAL</x:v>
      </x:c>
      <x:c r="L167" s="52" t="n">
        <x:v>50</x:v>
      </x:c>
      <x:c r="M167" s="21" t="str">
        <x:v>RAFVG_PDF_MUNICIPAL_TABLE</x:v>
      </x:c>
      <x:c r="N167" s="21" t="str">
        <x:v>https://www.consiglio.regione.fvg.it/cms/export/sites/consiglio/attivita/valutazione/Relazioni-informative/allegati/CV-LR-29-2005_V.pdf</x:v>
      </x:c>
      <x:c r="O167" s="21" t="str">
        <x:v>REGIONAL_TABLE</x:v>
      </x:c>
      <x:c r="P167" s="21" t="str">
        <x:v>RAFVG_REGIONAL_TABLE_2023</x:v>
      </x:c>
    </x:row>
    <x:row r="168">
      <x:c r="A168" s="20" t="str">
        <x:v>093002</x:v>
      </x:c>
      <x:c r="B168" s="21" t="str">
        <x:v>Arba</x:v>
      </x:c>
      <x:c r="C168" s="21" t="str">
        <x:v>2023_Q4</x:v>
      </x:c>
      <x:c r="D168" s="24" t="n">
        <x:v>0</x:v>
      </x:c>
      <x:c r="E168" s="24" t="n">
        <x:v>0</x:v>
      </x:c>
      <x:c r="F168" s="24" t="n">
        <x:v>0</x:v>
      </x:c>
      <x:c r="G168" s="24" t="n">
        <x:v>0</x:v>
      </x:c>
      <x:c r="H168" s="24" t="n">
        <x:f>SUM(D168:G168)</x:f>
        <x:v>0</x:v>
      </x:c>
      <x:c r="I168" s="21" t="str">
        <x:v>ZERO_REAL_SOURCE_TABLE</x:v>
      </x:c>
      <x:c r="J168" s="21" t="str">
        <x:v>ARBA</x:v>
      </x:c>
      <x:c r="K168" s="21" t="str">
        <x:v>DIRECT_NOMINAL</x:v>
      </x:c>
      <x:c r="L168" s="52" t="n">
        <x:v>50</x:v>
      </x:c>
      <x:c r="M168" s="21" t="str">
        <x:v>RAFVG_PDF_MUNICIPAL_TABLE</x:v>
      </x:c>
      <x:c r="N168" s="21" t="str">
        <x:v>https://www.consiglio.regione.fvg.it/cms/export/sites/consiglio/attivita/valutazione/Relazioni-informative/allegati/CV-LR-29-2005_V.pdf</x:v>
      </x:c>
      <x:c r="O168" s="21" t="str">
        <x:v>REGIONAL_TABLE</x:v>
      </x:c>
      <x:c r="P168" s="21" t="str">
        <x:v>RAFVG_REGIONAL_TABLE_2023</x:v>
      </x:c>
    </x:row>
    <x:row r="169">
      <x:c r="A169" s="20" t="str">
        <x:v>093004</x:v>
      </x:c>
      <x:c r="B169" s="21" t="str">
        <x:v>Aviano</x:v>
      </x:c>
      <x:c r="C169" s="21" t="str">
        <x:v>2023_Q4</x:v>
      </x:c>
      <x:c r="D169" s="24" t="n">
        <x:v>7991</x:v>
      </x:c>
      <x:c r="E169" s="24" t="n">
        <x:v>0</x:v>
      </x:c>
      <x:c r="F169" s="24" t="n">
        <x:v>0</x:v>
      </x:c>
      <x:c r="G169" s="24" t="n">
        <x:v>0</x:v>
      </x:c>
      <x:c r="H169" s="24" t="n">
        <x:f>SUM(D169:G169)</x:f>
        <x:v>7991</x:v>
      </x:c>
      <x:c r="I169" s="21" t="str">
        <x:v>OBSERVED_POSITIVE</x:v>
      </x:c>
      <x:c r="J169" s="21" t="str">
        <x:v>AVIANO</x:v>
      </x:c>
      <x:c r="K169" s="21" t="str">
        <x:v>DIRECT_NOMINAL</x:v>
      </x:c>
      <x:c r="L169" s="52" t="n">
        <x:v>50</x:v>
      </x:c>
      <x:c r="M169" s="21" t="str">
        <x:v>RAFVG_PDF_MUNICIPAL_TABLE</x:v>
      </x:c>
      <x:c r="N169" s="21" t="str">
        <x:v>https://www.consiglio.regione.fvg.it/cms/export/sites/consiglio/attivita/valutazione/Relazioni-informative/allegati/CV-LR-29-2005_V.pdf</x:v>
      </x:c>
      <x:c r="O169" s="21" t="str">
        <x:v>NOT_ZERO</x:v>
      </x:c>
      <x:c r="P169" s="21" t="str">
        <x:v>RAFVG_REGIONAL_TABLE_2023</x:v>
      </x:c>
    </x:row>
    <x:row r="170">
      <x:c r="A170" s="20" t="str">
        <x:v>093005</x:v>
      </x:c>
      <x:c r="B170" s="21" t="str">
        <x:v>Azzano Decimo</x:v>
      </x:c>
      <x:c r="C170" s="21" t="str">
        <x:v>2023_Q4</x:v>
      </x:c>
      <x:c r="D170" s="24" t="n">
        <x:v>8516.28</x:v>
      </x:c>
      <x:c r="E170" s="24" t="n">
        <x:v>0</x:v>
      </x:c>
      <x:c r="F170" s="24" t="n">
        <x:v>0</x:v>
      </x:c>
      <x:c r="G170" s="24" t="n">
        <x:v>0</x:v>
      </x:c>
      <x:c r="H170" s="24" t="n">
        <x:f>SUM(D170:G170)</x:f>
        <x:v>8516.28</x:v>
      </x:c>
      <x:c r="I170" s="21" t="str">
        <x:v>OBSERVED_POSITIVE</x:v>
      </x:c>
      <x:c r="J170" s="21" t="str">
        <x:v>AZZANO DECIMO</x:v>
      </x:c>
      <x:c r="K170" s="21" t="str">
        <x:v>DIRECT_NOMINAL</x:v>
      </x:c>
      <x:c r="L170" s="52" t="n">
        <x:v>50</x:v>
      </x:c>
      <x:c r="M170" s="21" t="str">
        <x:v>RAFVG_PDF_MUNICIPAL_TABLE</x:v>
      </x:c>
      <x:c r="N170" s="21" t="str">
        <x:v>https://www.consiglio.regione.fvg.it/cms/export/sites/consiglio/attivita/valutazione/Relazioni-informative/allegati/CV-LR-29-2005_V.pdf</x:v>
      </x:c>
      <x:c r="O170" s="21" t="str">
        <x:v>NOT_ZERO</x:v>
      </x:c>
      <x:c r="P170" s="21" t="str">
        <x:v>RAFVG_REGIONAL_TABLE_2023</x:v>
      </x:c>
    </x:row>
    <x:row r="171">
      <x:c r="A171" s="20" t="str">
        <x:v>093006</x:v>
      </x:c>
      <x:c r="B171" s="21" t="str">
        <x:v>Barcis</x:v>
      </x:c>
      <x:c r="C171" s="21" t="str">
        <x:v>2023_Q4</x:v>
      </x:c>
      <x:c r="D171" s="24" t="n">
        <x:v>0</x:v>
      </x:c>
      <x:c r="E171" s="24" t="n">
        <x:v>0</x:v>
      </x:c>
      <x:c r="F171" s="24" t="n">
        <x:v>0</x:v>
      </x:c>
      <x:c r="G171" s="24" t="n">
        <x:v>0</x:v>
      </x:c>
      <x:c r="H171" s="24" t="n">
        <x:f>SUM(D171:G171)</x:f>
        <x:v>0</x:v>
      </x:c>
      <x:c r="I171" s="21" t="str">
        <x:v>ZERO_REAL_SOURCE_TABLE</x:v>
      </x:c>
      <x:c r="J171" s="21" t="str">
        <x:v>BARCIS</x:v>
      </x:c>
      <x:c r="K171" s="21" t="str">
        <x:v>DIRECT_NOMINAL</x:v>
      </x:c>
      <x:c r="L171" s="52" t="n">
        <x:v>50</x:v>
      </x:c>
      <x:c r="M171" s="21" t="str">
        <x:v>RAFVG_PDF_MUNICIPAL_TABLE</x:v>
      </x:c>
      <x:c r="N171" s="21" t="str">
        <x:v>https://www.consiglio.regione.fvg.it/cms/export/sites/consiglio/attivita/valutazione/Relazioni-informative/allegati/CV-LR-29-2005_V.pdf</x:v>
      </x:c>
      <x:c r="O171" s="21" t="str">
        <x:v>REGIONAL_TABLE</x:v>
      </x:c>
      <x:c r="P171" s="21" t="str">
        <x:v>RAFVG_REGIONAL_TABLE_2023</x:v>
      </x:c>
    </x:row>
    <x:row r="172">
      <x:c r="A172" s="20" t="str">
        <x:v>093007</x:v>
      </x:c>
      <x:c r="B172" s="21" t="str">
        <x:v>Brugnera</x:v>
      </x:c>
      <x:c r="C172" s="21" t="str">
        <x:v>2023_Q4</x:v>
      </x:c>
      <x:c r="D172" s="24" t="n">
        <x:v>2360</x:v>
      </x:c>
      <x:c r="E172" s="24" t="n">
        <x:v>3825</x:v>
      </x:c>
      <x:c r="F172" s="24" t="n">
        <x:v>0</x:v>
      </x:c>
      <x:c r="G172" s="24" t="n">
        <x:v>0</x:v>
      </x:c>
      <x:c r="H172" s="24" t="n">
        <x:f>SUM(D172:G172)</x:f>
        <x:v>6185</x:v>
      </x:c>
      <x:c r="I172" s="21" t="str">
        <x:v>OBSERVED_POSITIVE</x:v>
      </x:c>
      <x:c r="J172" s="21" t="str">
        <x:v>BRUGNERA</x:v>
      </x:c>
      <x:c r="K172" s="21" t="str">
        <x:v>DIRECT_NOMINAL</x:v>
      </x:c>
      <x:c r="L172" s="52" t="n">
        <x:v>51</x:v>
      </x:c>
      <x:c r="M172" s="21" t="str">
        <x:v>RAFVG_PDF_MUNICIPAL_TABLE</x:v>
      </x:c>
      <x:c r="N172" s="21" t="str">
        <x:v>https://www.consiglio.regione.fvg.it/cms/export/sites/consiglio/attivita/valutazione/Relazioni-informative/allegati/CV-LR-29-2005_V.pdf</x:v>
      </x:c>
      <x:c r="O172" s="21" t="str">
        <x:v>NOT_ZERO</x:v>
      </x:c>
      <x:c r="P172" s="21" t="str">
        <x:v>RAFVG_REGIONAL_TABLE_2023</x:v>
      </x:c>
    </x:row>
    <x:row r="173">
      <x:c r="A173" s="20" t="str">
        <x:v>093008</x:v>
      </x:c>
      <x:c r="B173" s="21" t="str">
        <x:v>Budoia</x:v>
      </x:c>
      <x:c r="C173" s="21" t="str">
        <x:v>2023_Q4</x:v>
      </x:c>
      <x:c r="D173" s="24" t="n">
        <x:v>1500</x:v>
      </x:c>
      <x:c r="E173" s="24" t="n">
        <x:v>0</x:v>
      </x:c>
      <x:c r="F173" s="24" t="n">
        <x:v>0</x:v>
      </x:c>
      <x:c r="G173" s="24" t="n">
        <x:v>0</x:v>
      </x:c>
      <x:c r="H173" s="24" t="n">
        <x:f>SUM(D173:G173)</x:f>
        <x:v>1500</x:v>
      </x:c>
      <x:c r="I173" s="21" t="str">
        <x:v>OBSERVED_POSITIVE</x:v>
      </x:c>
      <x:c r="J173" s="21" t="str">
        <x:v>BUDOIA</x:v>
      </x:c>
      <x:c r="K173" s="21" t="str">
        <x:v>DIRECT_NOMINAL</x:v>
      </x:c>
      <x:c r="L173" s="52" t="n">
        <x:v>51</x:v>
      </x:c>
      <x:c r="M173" s="21" t="str">
        <x:v>RAFVG_PDF_MUNICIPAL_TABLE</x:v>
      </x:c>
      <x:c r="N173" s="21" t="str">
        <x:v>https://www.consiglio.regione.fvg.it/cms/export/sites/consiglio/attivita/valutazione/Relazioni-informative/allegati/CV-LR-29-2005_V.pdf</x:v>
      </x:c>
      <x:c r="O173" s="21" t="str">
        <x:v>NOT_ZERO</x:v>
      </x:c>
      <x:c r="P173" s="21" t="str">
        <x:v>RAFVG_REGIONAL_TABLE_2023</x:v>
      </x:c>
    </x:row>
    <x:row r="174">
      <x:c r="A174" s="20" t="str">
        <x:v>093009</x:v>
      </x:c>
      <x:c r="B174" s="21" t="str">
        <x:v>Caneva</x:v>
      </x:c>
      <x:c r="C174" s="21" t="str">
        <x:v>2023_Q4</x:v>
      </x:c>
      <x:c r="D174" s="24" t="n">
        <x:v>0</x:v>
      </x:c>
      <x:c r="E174" s="24" t="n">
        <x:v>0</x:v>
      </x:c>
      <x:c r="F174" s="24" t="n">
        <x:v>0</x:v>
      </x:c>
      <x:c r="G174" s="24" t="n">
        <x:v>0</x:v>
      </x:c>
      <x:c r="H174" s="24" t="n">
        <x:f>SUM(D174:G174)</x:f>
        <x:v>0</x:v>
      </x:c>
      <x:c r="I174" s="21" t="str">
        <x:v>ZERO_REAL_SOURCE_TABLE</x:v>
      </x:c>
      <x:c r="J174" s="21" t="str">
        <x:v>CANEVA</x:v>
      </x:c>
      <x:c r="K174" s="21" t="str">
        <x:v>DIRECT_NOMINAL</x:v>
      </x:c>
      <x:c r="L174" s="52" t="n">
        <x:v>51</x:v>
      </x:c>
      <x:c r="M174" s="21" t="str">
        <x:v>RAFVG_PDF_MUNICIPAL_TABLE</x:v>
      </x:c>
      <x:c r="N174" s="21" t="str">
        <x:v>https://www.consiglio.regione.fvg.it/cms/export/sites/consiglio/attivita/valutazione/Relazioni-informative/allegati/CV-LR-29-2005_V.pdf</x:v>
      </x:c>
      <x:c r="O174" s="21" t="str">
        <x:v>REGIONAL_TABLE</x:v>
      </x:c>
      <x:c r="P174" s="21" t="str">
        <x:v>RAFVG_REGIONAL_TABLE_2023</x:v>
      </x:c>
    </x:row>
    <x:row r="175">
      <x:c r="A175" s="20" t="str">
        <x:v>093010</x:v>
      </x:c>
      <x:c r="B175" s="21" t="str">
        <x:v>Casarsa della Delizia</x:v>
      </x:c>
      <x:c r="C175" s="21" t="str">
        <x:v>2023_Q4</x:v>
      </x:c>
      <x:c r="D175" s="24" t="n">
        <x:v>3896.5</x:v>
      </x:c>
      <x:c r="E175" s="24" t="n">
        <x:v>0</x:v>
      </x:c>
      <x:c r="F175" s="24" t="n">
        <x:v>0</x:v>
      </x:c>
      <x:c r="G175" s="24" t="n">
        <x:v>2500</x:v>
      </x:c>
      <x:c r="H175" s="24" t="n">
        <x:f>SUM(D175:G175)</x:f>
        <x:v>6396.5</x:v>
      </x:c>
      <x:c r="I175" s="21" t="str">
        <x:v>OBSERVED_POSITIVE</x:v>
      </x:c>
      <x:c r="J175" s="21" t="str">
        <x:v>CASARSA DELLA DELIZIA</x:v>
      </x:c>
      <x:c r="K175" s="21" t="str">
        <x:v>DIRECT_NOMINAL</x:v>
      </x:c>
      <x:c r="L175" s="52" t="n">
        <x:v>51</x:v>
      </x:c>
      <x:c r="M175" s="21" t="str">
        <x:v>RAFVG_PDF_MUNICIPAL_TABLE</x:v>
      </x:c>
      <x:c r="N175" s="21" t="str">
        <x:v>https://www.consiglio.regione.fvg.it/cms/export/sites/consiglio/attivita/valutazione/Relazioni-informative/allegati/CV-LR-29-2005_V.pdf</x:v>
      </x:c>
      <x:c r="O175" s="21" t="str">
        <x:v>NOT_ZERO</x:v>
      </x:c>
      <x:c r="P175" s="21" t="str">
        <x:v>RAFVG_REGIONAL_TABLE_2023</x:v>
      </x:c>
    </x:row>
    <x:row r="176">
      <x:c r="A176" s="20" t="str">
        <x:v>093011</x:v>
      </x:c>
      <x:c r="B176" s="21" t="str">
        <x:v>Castelnovo del Friuli</x:v>
      </x:c>
      <x:c r="C176" s="21" t="str">
        <x:v>2023_Q4</x:v>
      </x:c>
      <x:c r="D176" s="24" t="n">
        <x:v>0</x:v>
      </x:c>
      <x:c r="E176" s="24" t="n">
        <x:v>0</x:v>
      </x:c>
      <x:c r="F176" s="24" t="n">
        <x:v>0</x:v>
      </x:c>
      <x:c r="G176" s="24" t="n">
        <x:v>0</x:v>
      </x:c>
      <x:c r="H176" s="24" t="n">
        <x:f>SUM(D176:G176)</x:f>
        <x:v>0</x:v>
      </x:c>
      <x:c r="I176" s="21" t="str">
        <x:v>ZERO_REAL_SOURCE_TABLE</x:v>
      </x:c>
      <x:c r="J176" s="21" t="str">
        <x:v>CASTELNOVO DEL FRIULI</x:v>
      </x:c>
      <x:c r="K176" s="21" t="str">
        <x:v>DIRECT_NOMINAL</x:v>
      </x:c>
      <x:c r="L176" s="52" t="n">
        <x:v>52</x:v>
      </x:c>
      <x:c r="M176" s="21" t="str">
        <x:v>RAFVG_PDF_MUNICIPAL_TABLE</x:v>
      </x:c>
      <x:c r="N176" s="21" t="str">
        <x:v>https://www.consiglio.regione.fvg.it/cms/export/sites/consiglio/attivita/valutazione/Relazioni-informative/allegati/CV-LR-29-2005_V.pdf</x:v>
      </x:c>
      <x:c r="O176" s="21" t="str">
        <x:v>REGIONAL_TABLE</x:v>
      </x:c>
      <x:c r="P176" s="21" t="str">
        <x:v>RAFVG_REGIONAL_TABLE_2023</x:v>
      </x:c>
    </x:row>
    <x:row r="177">
      <x:c r="A177" s="20" t="str">
        <x:v>093012</x:v>
      </x:c>
      <x:c r="B177" s="21" t="str">
        <x:v>Cavasso Nuovo</x:v>
      </x:c>
      <x:c r="C177" s="21" t="str">
        <x:v>2023_Q4</x:v>
      </x:c>
      <x:c r="D177" s="24" t="n">
        <x:v>0</x:v>
      </x:c>
      <x:c r="E177" s="24" t="n">
        <x:v>0</x:v>
      </x:c>
      <x:c r="F177" s="24" t="n">
        <x:v>0</x:v>
      </x:c>
      <x:c r="G177" s="24" t="n">
        <x:v>0</x:v>
      </x:c>
      <x:c r="H177" s="24" t="n">
        <x:f>SUM(D177:G177)</x:f>
        <x:v>0</x:v>
      </x:c>
      <x:c r="I177" s="21" t="str">
        <x:v>ZERO_REAL_SOURCE_TABLE</x:v>
      </x:c>
      <x:c r="J177" s="21" t="str">
        <x:v>CAVASSO NUOVO</x:v>
      </x:c>
      <x:c r="K177" s="21" t="str">
        <x:v>DIRECT_NOMINAL</x:v>
      </x:c>
      <x:c r="L177" s="52" t="n">
        <x:v>52</x:v>
      </x:c>
      <x:c r="M177" s="21" t="str">
        <x:v>RAFVG_PDF_MUNICIPAL_TABLE</x:v>
      </x:c>
      <x:c r="N177" s="21" t="str">
        <x:v>https://www.consiglio.regione.fvg.it/cms/export/sites/consiglio/attivita/valutazione/Relazioni-informative/allegati/CV-LR-29-2005_V.pdf</x:v>
      </x:c>
      <x:c r="O177" s="21" t="str">
        <x:v>REGIONAL_TABLE</x:v>
      </x:c>
      <x:c r="P177" s="21" t="str">
        <x:v>RAFVG_REGIONAL_TABLE_2023</x:v>
      </x:c>
    </x:row>
    <x:row r="178">
      <x:c r="A178" s="20" t="str">
        <x:v>093013</x:v>
      </x:c>
      <x:c r="B178" s="21" t="str">
        <x:v>Chions</x:v>
      </x:c>
      <x:c r="C178" s="21" t="str">
        <x:v>2023_Q4</x:v>
      </x:c>
      <x:c r="D178" s="24" t="n">
        <x:v>2230</x:v>
      </x:c>
      <x:c r="E178" s="24" t="n">
        <x:v>0</x:v>
      </x:c>
      <x:c r="F178" s="24" t="n">
        <x:v>0</x:v>
      </x:c>
      <x:c r="G178" s="24" t="n">
        <x:v>0</x:v>
      </x:c>
      <x:c r="H178" s="24" t="n">
        <x:f>SUM(D178:G178)</x:f>
        <x:v>2230</x:v>
      </x:c>
      <x:c r="I178" s="21" t="str">
        <x:v>OBSERVED_POSITIVE</x:v>
      </x:c>
      <x:c r="J178" s="21" t="str">
        <x:v>CHIONS</x:v>
      </x:c>
      <x:c r="K178" s="21" t="str">
        <x:v>DIRECT_NOMINAL</x:v>
      </x:c>
      <x:c r="L178" s="52" t="n">
        <x:v>52</x:v>
      </x:c>
      <x:c r="M178" s="21" t="str">
        <x:v>RAFVG_PDF_MUNICIPAL_TABLE</x:v>
      </x:c>
      <x:c r="N178" s="21" t="str">
        <x:v>https://www.consiglio.regione.fvg.it/cms/export/sites/consiglio/attivita/valutazione/Relazioni-informative/allegati/CV-LR-29-2005_V.pdf</x:v>
      </x:c>
      <x:c r="O178" s="21" t="str">
        <x:v>NOT_ZERO</x:v>
      </x:c>
      <x:c r="P178" s="21" t="str">
        <x:v>RAFVG_REGIONAL_TABLE_2023</x:v>
      </x:c>
    </x:row>
    <x:row r="179">
      <x:c r="A179" s="20" t="str">
        <x:v>093014</x:v>
      </x:c>
      <x:c r="B179" s="21" t="str">
        <x:v>Cimolais</x:v>
      </x:c>
      <x:c r="C179" s="21" t="str">
        <x:v>2023_Q4</x:v>
      </x:c>
      <x:c r="D179" s="24" t="n">
        <x:v>0</x:v>
      </x:c>
      <x:c r="E179" s="24" t="n">
        <x:v>0</x:v>
      </x:c>
      <x:c r="F179" s="24" t="n">
        <x:v>0</x:v>
      </x:c>
      <x:c r="G179" s="24" t="n">
        <x:v>0</x:v>
      </x:c>
      <x:c r="H179" s="24" t="n">
        <x:f>SUM(D179:G179)</x:f>
        <x:v>0</x:v>
      </x:c>
      <x:c r="I179" s="21" t="str">
        <x:v>ZERO_REAL_SOURCE_TABLE</x:v>
      </x:c>
      <x:c r="J179" s="21" t="str">
        <x:v>CIMOLAIS</x:v>
      </x:c>
      <x:c r="K179" s="21" t="str">
        <x:v>DIRECT_NOMINAL</x:v>
      </x:c>
      <x:c r="L179" s="52" t="n">
        <x:v>52</x:v>
      </x:c>
      <x:c r="M179" s="21" t="str">
        <x:v>RAFVG_PDF_MUNICIPAL_TABLE</x:v>
      </x:c>
      <x:c r="N179" s="21" t="str">
        <x:v>https://www.consiglio.regione.fvg.it/cms/export/sites/consiglio/attivita/valutazione/Relazioni-informative/allegati/CV-LR-29-2005_V.pdf</x:v>
      </x:c>
      <x:c r="O179" s="21" t="str">
        <x:v>REGIONAL_TABLE</x:v>
      </x:c>
      <x:c r="P179" s="21" t="str">
        <x:v>RAFVG_REGIONAL_TABLE_2023</x:v>
      </x:c>
    </x:row>
    <x:row r="180">
      <x:c r="A180" s="20" t="str">
        <x:v>093015</x:v>
      </x:c>
      <x:c r="B180" s="21" t="str">
        <x:v>Claut</x:v>
      </x:c>
      <x:c r="C180" s="21" t="str">
        <x:v>2022_Q3</x:v>
      </x:c>
      <x:c r="D180" s="24" t="n">
        <x:v>0</x:v>
      </x:c>
      <x:c r="E180" s="24" t="n">
        <x:v>0</x:v>
      </x:c>
      <x:c r="F180" s="24" t="n">
        <x:v>0</x:v>
      </x:c>
      <x:c r="G180" s="24" t="n">
        <x:v>0</x:v>
      </x:c>
      <x:c r="H180" s="24" t="n">
        <x:f>SUM(D180:G180)</x:f>
        <x:v>0</x:v>
      </x:c>
      <x:c r="I180" s="21" t="str">
        <x:v>ZERO_REAL_SOURCE_TABLE</x:v>
      </x:c>
      <x:c r="J180" s="21" t="str">
        <x:v>CLAUT</x:v>
      </x:c>
      <x:c r="K180" s="21" t="str">
        <x:v>DIRECT_NOMINAL</x:v>
      </x:c>
      <x:c r="L180" s="52" t="n">
        <x:v>52</x:v>
      </x:c>
      <x:c r="M180" s="21" t="str">
        <x:v>RAFVG_PDF_MUNICIPAL_TABLE</x:v>
      </x:c>
      <x:c r="N180" s="21" t="str">
        <x:v>https://www.consiglio.regione.fvg.it/cms/export/sites/consiglio/attivita/valutazione/Relazioni-informative/allegati/CV-LR-29-2005_V.pdf</x:v>
      </x:c>
      <x:c r="O180" s="21" t="str">
        <x:v>REGIONAL_TABLE</x:v>
      </x:c>
      <x:c r="P180" s="21" t="str">
        <x:v>RAFVG_REGIONAL_TABLE_2023</x:v>
      </x:c>
    </x:row>
    <x:row r="181">
      <x:c r="A181" s="20" t="str">
        <x:v>093016</x:v>
      </x:c>
      <x:c r="B181" s="21" t="str">
        <x:v>Clauzetto</x:v>
      </x:c>
      <x:c r="C181" s="21" t="str">
        <x:v>2023_Q4</x:v>
      </x:c>
      <x:c r="D181" s="24" t="n">
        <x:v>0</x:v>
      </x:c>
      <x:c r="E181" s="24" t="n">
        <x:v>0</x:v>
      </x:c>
      <x:c r="F181" s="24" t="n">
        <x:v>0</x:v>
      </x:c>
      <x:c r="G181" s="24" t="n">
        <x:v>0</x:v>
      </x:c>
      <x:c r="H181" s="24" t="n">
        <x:f>SUM(D181:G181)</x:f>
        <x:v>0</x:v>
      </x:c>
      <x:c r="I181" s="21" t="str">
        <x:v>ZERO_REAL_SOURCE_TABLE</x:v>
      </x:c>
      <x:c r="J181" s="21" t="str">
        <x:v>CLAUZETTO</x:v>
      </x:c>
      <x:c r="K181" s="21" t="str">
        <x:v>DIRECT_NOMINAL</x:v>
      </x:c>
      <x:c r="L181" s="52" t="n">
        <x:v>53</x:v>
      </x:c>
      <x:c r="M181" s="21" t="str">
        <x:v>RAFVG_PDF_MUNICIPAL_TABLE</x:v>
      </x:c>
      <x:c r="N181" s="21" t="str">
        <x:v>https://www.consiglio.regione.fvg.it/cms/export/sites/consiglio/attivita/valutazione/Relazioni-informative/allegati/CV-LR-29-2005_V.pdf</x:v>
      </x:c>
      <x:c r="O181" s="21" t="str">
        <x:v>REGIONAL_TABLE</x:v>
      </x:c>
      <x:c r="P181" s="21" t="str">
        <x:v>RAFVG_REGIONAL_TABLE_2023</x:v>
      </x:c>
    </x:row>
    <x:row r="182">
      <x:c r="A182" s="20" t="str">
        <x:v>093017</x:v>
      </x:c>
      <x:c r="B182" s="21" t="str">
        <x:v>Cordenons</x:v>
      </x:c>
      <x:c r="C182" s="21" t="str">
        <x:v>2023_Q4</x:v>
      </x:c>
      <x:c r="D182" s="24" t="n">
        <x:v>4959</x:v>
      </x:c>
      <x:c r="E182" s="24" t="n">
        <x:v>2100</x:v>
      </x:c>
      <x:c r="F182" s="24" t="n">
        <x:v>0</x:v>
      </x:c>
      <x:c r="G182" s="24" t="n">
        <x:v>1656</x:v>
      </x:c>
      <x:c r="H182" s="24" t="n">
        <x:f>SUM(D182:G182)</x:f>
        <x:v>8715</x:v>
      </x:c>
      <x:c r="I182" s="21" t="str">
        <x:v>OBSERVED_POSITIVE</x:v>
      </x:c>
      <x:c r="J182" s="21" t="str">
        <x:v>CORDENONS</x:v>
      </x:c>
      <x:c r="K182" s="21" t="str">
        <x:v>DIRECT_NOMINAL</x:v>
      </x:c>
      <x:c r="L182" s="52" t="n">
        <x:v>53</x:v>
      </x:c>
      <x:c r="M182" s="21" t="str">
        <x:v>RAFVG_PDF_MUNICIPAL_TABLE</x:v>
      </x:c>
      <x:c r="N182" s="21" t="str">
        <x:v>https://www.consiglio.regione.fvg.it/cms/export/sites/consiglio/attivita/valutazione/Relazioni-informative/allegati/CV-LR-29-2005_V.pdf</x:v>
      </x:c>
      <x:c r="O182" s="21" t="str">
        <x:v>NOT_ZERO</x:v>
      </x:c>
      <x:c r="P182" s="21" t="str">
        <x:v>RAFVG_REGIONAL_TABLE_2023</x:v>
      </x:c>
    </x:row>
    <x:row r="183">
      <x:c r="A183" s="20" t="str">
        <x:v>093018</x:v>
      </x:c>
      <x:c r="B183" s="21" t="str">
        <x:v>Cordovado</x:v>
      </x:c>
      <x:c r="C183" s="21" t="str">
        <x:v>2023_Q4</x:v>
      </x:c>
      <x:c r="D183" s="24" t="n">
        <x:v>2276.5</x:v>
      </x:c>
      <x:c r="E183" s="24" t="n">
        <x:v>0</x:v>
      </x:c>
      <x:c r="F183" s="24" t="n">
        <x:v>0</x:v>
      </x:c>
      <x:c r="G183" s="24" t="n">
        <x:v>0</x:v>
      </x:c>
      <x:c r="H183" s="24" t="n">
        <x:f>SUM(D183:G183)</x:f>
        <x:v>2276.5</x:v>
      </x:c>
      <x:c r="I183" s="21" t="str">
        <x:v>OBSERVED_POSITIVE</x:v>
      </x:c>
      <x:c r="J183" s="21" t="str">
        <x:v>CORDOVADO</x:v>
      </x:c>
      <x:c r="K183" s="21" t="str">
        <x:v>DIRECT_NOMINAL</x:v>
      </x:c>
      <x:c r="L183" s="52" t="n">
        <x:v>53</x:v>
      </x:c>
      <x:c r="M183" s="21" t="str">
        <x:v>RAFVG_PDF_MUNICIPAL_TABLE</x:v>
      </x:c>
      <x:c r="N183" s="21" t="str">
        <x:v>https://www.consiglio.regione.fvg.it/cms/export/sites/consiglio/attivita/valutazione/Relazioni-informative/allegati/CV-LR-29-2005_V.pdf</x:v>
      </x:c>
      <x:c r="O183" s="21" t="str">
        <x:v>NOT_ZERO</x:v>
      </x:c>
      <x:c r="P183" s="21" t="str">
        <x:v>RAFVG_REGIONAL_TABLE_2023</x:v>
      </x:c>
    </x:row>
    <x:row r="184">
      <x:c r="A184" s="20" t="str">
        <x:v>093019</x:v>
      </x:c>
      <x:c r="B184" s="21" t="str">
        <x:v>Erto e Casso</x:v>
      </x:c>
      <x:c r="C184" s="21" t="str">
        <x:v>2023_Q4</x:v>
      </x:c>
      <x:c r="D184" s="24" t="n">
        <x:v>0</x:v>
      </x:c>
      <x:c r="E184" s="24" t="n">
        <x:v>0</x:v>
      </x:c>
      <x:c r="F184" s="24" t="n">
        <x:v>0</x:v>
      </x:c>
      <x:c r="G184" s="24" t="n">
        <x:v>0</x:v>
      </x:c>
      <x:c r="H184" s="24" t="n">
        <x:f>SUM(D184:G184)</x:f>
        <x:v>0</x:v>
      </x:c>
      <x:c r="I184" s="21" t="str">
        <x:v>ZERO_REAL_SOURCE_TABLE</x:v>
      </x:c>
      <x:c r="J184" s="21" t="str">
        <x:v>ERTO E CASSO</x:v>
      </x:c>
      <x:c r="K184" s="21" t="str">
        <x:v>DIRECT_NOMINAL</x:v>
      </x:c>
      <x:c r="L184" s="52" t="n">
        <x:v>53</x:v>
      </x:c>
      <x:c r="M184" s="21" t="str">
        <x:v>RAFVG_PDF_MUNICIPAL_TABLE</x:v>
      </x:c>
      <x:c r="N184" s="21" t="str">
        <x:v>https://www.consiglio.regione.fvg.it/cms/export/sites/consiglio/attivita/valutazione/Relazioni-informative/allegati/CV-LR-29-2005_V.pdf</x:v>
      </x:c>
      <x:c r="O184" s="21" t="str">
        <x:v>REGIONAL_TABLE</x:v>
      </x:c>
      <x:c r="P184" s="21" t="str">
        <x:v>RAFVG_REGIONAL_TABLE_2023</x:v>
      </x:c>
    </x:row>
    <x:row r="185">
      <x:c r="A185" s="20" t="str">
        <x:v>093020</x:v>
      </x:c>
      <x:c r="B185" s="21" t="str">
        <x:v>Fanna</x:v>
      </x:c>
      <x:c r="C185" s="21" t="str">
        <x:v>2023_Q4</x:v>
      </x:c>
      <x:c r="D185" s="24" t="n">
        <x:v>0</x:v>
      </x:c>
      <x:c r="E185" s="24" t="n">
        <x:v>0</x:v>
      </x:c>
      <x:c r="F185" s="24" t="n">
        <x:v>0</x:v>
      </x:c>
      <x:c r="G185" s="24" t="n">
        <x:v>0</x:v>
      </x:c>
      <x:c r="H185" s="24" t="n">
        <x:f>SUM(D185:G185)</x:f>
        <x:v>0</x:v>
      </x:c>
      <x:c r="I185" s="21" t="str">
        <x:v>ZERO_REAL_SOURCE_TABLE</x:v>
      </x:c>
      <x:c r="J185" s="21" t="str">
        <x:v>FANNA</x:v>
      </x:c>
      <x:c r="K185" s="21" t="str">
        <x:v>DIRECT_NOMINAL</x:v>
      </x:c>
      <x:c r="L185" s="52" t="n">
        <x:v>53</x:v>
      </x:c>
      <x:c r="M185" s="21" t="str">
        <x:v>RAFVG_PDF_MUNICIPAL_TABLE</x:v>
      </x:c>
      <x:c r="N185" s="21" t="str">
        <x:v>https://www.consiglio.regione.fvg.it/cms/export/sites/consiglio/attivita/valutazione/Relazioni-informative/allegati/CV-LR-29-2005_V.pdf</x:v>
      </x:c>
      <x:c r="O185" s="21" t="str">
        <x:v>REGIONAL_TABLE</x:v>
      </x:c>
      <x:c r="P185" s="21" t="str">
        <x:v>RAFVG_REGIONAL_TABLE_2023</x:v>
      </x:c>
    </x:row>
    <x:row r="186">
      <x:c r="A186" s="20" t="str">
        <x:v>093021</x:v>
      </x:c>
      <x:c r="B186" s="21" t="str">
        <x:v>Fiume Veneto</x:v>
      </x:c>
      <x:c r="C186" s="21" t="str">
        <x:v>2023_Q4</x:v>
      </x:c>
      <x:c r="D186" s="24" t="n">
        <x:v>6077.63</x:v>
      </x:c>
      <x:c r="E186" s="24" t="n">
        <x:v>11631.2</x:v>
      </x:c>
      <x:c r="F186" s="24" t="n">
        <x:v>0</x:v>
      </x:c>
      <x:c r="G186" s="24" t="n">
        <x:v>29216</x:v>
      </x:c>
      <x:c r="H186" s="24" t="n">
        <x:f>SUM(D186:G186)</x:f>
        <x:v>46924.83</x:v>
      </x:c>
      <x:c r="I186" s="21" t="str">
        <x:v>OBSERVED_POSITIVE</x:v>
      </x:c>
      <x:c r="J186" s="21" t="str">
        <x:v>FIUME VENETO</x:v>
      </x:c>
      <x:c r="K186" s="21" t="str">
        <x:v>DIRECT_NOMINAL</x:v>
      </x:c>
      <x:c r="L186" s="52" t="n">
        <x:v>54</x:v>
      </x:c>
      <x:c r="M186" s="21" t="str">
        <x:v>RAFVG_PDF_MUNICIPAL_TABLE</x:v>
      </x:c>
      <x:c r="N186" s="21" t="str">
        <x:v>https://www.consiglio.regione.fvg.it/cms/export/sites/consiglio/attivita/valutazione/Relazioni-informative/allegati/CV-LR-29-2005_V.pdf</x:v>
      </x:c>
      <x:c r="O186" s="21" t="str">
        <x:v>NOT_ZERO</x:v>
      </x:c>
      <x:c r="P186" s="21" t="str">
        <x:v>RAFVG_REGIONAL_TABLE_2023</x:v>
      </x:c>
    </x:row>
    <x:row r="187">
      <x:c r="A187" s="20" t="str">
        <x:v>093022</x:v>
      </x:c>
      <x:c r="B187" s="21" t="str">
        <x:v>Fontanafredda</x:v>
      </x:c>
      <x:c r="C187" s="21" t="str">
        <x:v>2023_Q4</x:v>
      </x:c>
      <x:c r="D187" s="24" t="n">
        <x:v>3241.88</x:v>
      </x:c>
      <x:c r="E187" s="24" t="n">
        <x:v>0</x:v>
      </x:c>
      <x:c r="F187" s="24" t="n">
        <x:v>0</x:v>
      </x:c>
      <x:c r="G187" s="24" t="n">
        <x:v>3241.75</x:v>
      </x:c>
      <x:c r="H187" s="24" t="n">
        <x:f>SUM(D187:G187)</x:f>
        <x:v>6483.63</x:v>
      </x:c>
      <x:c r="I187" s="21" t="str">
        <x:v>OBSERVED_POSITIVE</x:v>
      </x:c>
      <x:c r="J187" s="21" t="str">
        <x:v>FONTANAFREDDA</x:v>
      </x:c>
      <x:c r="K187" s="21" t="str">
        <x:v>DIRECT_NOMINAL</x:v>
      </x:c>
      <x:c r="L187" s="52" t="n">
        <x:v>54</x:v>
      </x:c>
      <x:c r="M187" s="21" t="str">
        <x:v>RAFVG_PDF_MUNICIPAL_TABLE</x:v>
      </x:c>
      <x:c r="N187" s="21" t="str">
        <x:v>https://www.consiglio.regione.fvg.it/cms/export/sites/consiglio/attivita/valutazione/Relazioni-informative/allegati/CV-LR-29-2005_V.pdf</x:v>
      </x:c>
      <x:c r="O187" s="21" t="str">
        <x:v>NOT_ZERO</x:v>
      </x:c>
      <x:c r="P187" s="21" t="str">
        <x:v>RAFVG_REGIONAL_TABLE_2023</x:v>
      </x:c>
    </x:row>
    <x:row r="188">
      <x:c r="A188" s="20" t="str">
        <x:v>093024</x:v>
      </x:c>
      <x:c r="B188" s="21" t="str">
        <x:v>Frisanco</x:v>
      </x:c>
      <x:c r="C188" s="21" t="str">
        <x:v>2023_Q4</x:v>
      </x:c>
      <x:c r="D188" s="24" t="n">
        <x:v>0</x:v>
      </x:c>
      <x:c r="E188" s="24" t="n">
        <x:v>0</x:v>
      </x:c>
      <x:c r="F188" s="24" t="n">
        <x:v>0</x:v>
      </x:c>
      <x:c r="G188" s="24" t="n">
        <x:v>0</x:v>
      </x:c>
      <x:c r="H188" s="24" t="n">
        <x:f>SUM(D188:G188)</x:f>
        <x:v>0</x:v>
      </x:c>
      <x:c r="I188" s="21" t="str">
        <x:v>ZERO_REAL_SOURCE_TABLE</x:v>
      </x:c>
      <x:c r="J188" s="21" t="str">
        <x:v>FRISANCO</x:v>
      </x:c>
      <x:c r="K188" s="21" t="str">
        <x:v>DIRECT_NOMINAL</x:v>
      </x:c>
      <x:c r="L188" s="52" t="n">
        <x:v>54</x:v>
      </x:c>
      <x:c r="M188" s="21" t="str">
        <x:v>RAFVG_PDF_MUNICIPAL_TABLE</x:v>
      </x:c>
      <x:c r="N188" s="21" t="str">
        <x:v>https://www.consiglio.regione.fvg.it/cms/export/sites/consiglio/attivita/valutazione/Relazioni-informative/allegati/CV-LR-29-2005_V.pdf</x:v>
      </x:c>
      <x:c r="O188" s="21" t="str">
        <x:v>REGIONAL_TABLE</x:v>
      </x:c>
      <x:c r="P188" s="21" t="str">
        <x:v>RAFVG_REGIONAL_TABLE_2023</x:v>
      </x:c>
    </x:row>
    <x:row r="189">
      <x:c r="A189" s="20" t="str">
        <x:v>093025</x:v>
      </x:c>
      <x:c r="B189" s="21" t="str">
        <x:v>Maniago</x:v>
      </x:c>
      <x:c r="C189" s="21" t="str">
        <x:v>2023_Q4</x:v>
      </x:c>
      <x:c r="D189" s="24" t="n">
        <x:v>8321.5</x:v>
      </x:c>
      <x:c r="E189" s="24" t="n">
        <x:v>0</x:v>
      </x:c>
      <x:c r="F189" s="24" t="n">
        <x:v>0</x:v>
      </x:c>
      <x:c r="G189" s="24" t="n">
        <x:v>0</x:v>
      </x:c>
      <x:c r="H189" s="24" t="n">
        <x:f>SUM(D189:G189)</x:f>
        <x:v>8321.5</x:v>
      </x:c>
      <x:c r="I189" s="21" t="str">
        <x:v>OBSERVED_POSITIVE</x:v>
      </x:c>
      <x:c r="J189" s="21" t="str">
        <x:v>MANIAGO</x:v>
      </x:c>
      <x:c r="K189" s="21" t="str">
        <x:v>DIRECT_NOMINAL</x:v>
      </x:c>
      <x:c r="L189" s="52" t="n">
        <x:v>54</x:v>
      </x:c>
      <x:c r="M189" s="21" t="str">
        <x:v>RAFVG_PDF_MUNICIPAL_TABLE</x:v>
      </x:c>
      <x:c r="N189" s="21" t="str">
        <x:v>https://www.consiglio.regione.fvg.it/cms/export/sites/consiglio/attivita/valutazione/Relazioni-informative/allegati/CV-LR-29-2005_V.pdf</x:v>
      </x:c>
      <x:c r="O189" s="21" t="str">
        <x:v>NOT_ZERO</x:v>
      </x:c>
      <x:c r="P189" s="21" t="str">
        <x:v>RAFVG_REGIONAL_TABLE_2023</x:v>
      </x:c>
    </x:row>
    <x:row r="190">
      <x:c r="A190" s="20" t="str">
        <x:v>093026</x:v>
      </x:c>
      <x:c r="B190" s="21" t="str">
        <x:v>Meduno</x:v>
      </x:c>
      <x:c r="C190" s="21" t="str">
        <x:v>2023_Q4</x:v>
      </x:c>
      <x:c r="D190" s="24" t="n">
        <x:v>0</x:v>
      </x:c>
      <x:c r="E190" s="24" t="n">
        <x:v>0</x:v>
      </x:c>
      <x:c r="F190" s="24" t="n">
        <x:v>0</x:v>
      </x:c>
      <x:c r="G190" s="24" t="n">
        <x:v>0</x:v>
      </x:c>
      <x:c r="H190" s="24" t="n">
        <x:f>SUM(D190:G190)</x:f>
        <x:v>0</x:v>
      </x:c>
      <x:c r="I190" s="21" t="str">
        <x:v>ZERO_REAL_SOURCE_TABLE</x:v>
      </x:c>
      <x:c r="J190" s="21" t="str">
        <x:v>MEDUNO</x:v>
      </x:c>
      <x:c r="K190" s="21" t="str">
        <x:v>DIRECT_NOMINAL</x:v>
      </x:c>
      <x:c r="L190" s="52" t="n">
        <x:v>55</x:v>
      </x:c>
      <x:c r="M190" s="21" t="str">
        <x:v>RAFVG_PDF_MUNICIPAL_TABLE</x:v>
      </x:c>
      <x:c r="N190" s="21" t="str">
        <x:v>https://www.consiglio.regione.fvg.it/cms/export/sites/consiglio/attivita/valutazione/Relazioni-informative/allegati/CV-LR-29-2005_V.pdf</x:v>
      </x:c>
      <x:c r="O190" s="21" t="str">
        <x:v>REGIONAL_TABLE</x:v>
      </x:c>
      <x:c r="P190" s="21" t="str">
        <x:v>RAFVG_REGIONAL_TABLE_2023</x:v>
      </x:c>
    </x:row>
    <x:row r="191">
      <x:c r="A191" s="20" t="str">
        <x:v>093027</x:v>
      </x:c>
      <x:c r="B191" s="21" t="str">
        <x:v>Montereale Valcellina</x:v>
      </x:c>
      <x:c r="C191" s="21" t="str">
        <x:v>2023_Q4</x:v>
      </x:c>
      <x:c r="D191" s="24" t="n">
        <x:v>655</x:v>
      </x:c>
      <x:c r="E191" s="24" t="n">
        <x:v>0</x:v>
      </x:c>
      <x:c r="F191" s="24" t="n">
        <x:v>0</x:v>
      </x:c>
      <x:c r="G191" s="24" t="n">
        <x:v>0</x:v>
      </x:c>
      <x:c r="H191" s="24" t="n">
        <x:f>SUM(D191:G191)</x:f>
        <x:v>655</x:v>
      </x:c>
      <x:c r="I191" s="21" t="str">
        <x:v>OBSERVED_POSITIVE</x:v>
      </x:c>
      <x:c r="J191" s="21" t="str">
        <x:v>MONTEREALE VALCELLINA</x:v>
      </x:c>
      <x:c r="K191" s="21" t="str">
        <x:v>DIRECT_NOMINAL</x:v>
      </x:c>
      <x:c r="L191" s="52" t="n">
        <x:v>55</x:v>
      </x:c>
      <x:c r="M191" s="21" t="str">
        <x:v>RAFVG_PDF_MUNICIPAL_TABLE</x:v>
      </x:c>
      <x:c r="N191" s="21" t="str">
        <x:v>https://www.consiglio.regione.fvg.it/cms/export/sites/consiglio/attivita/valutazione/Relazioni-informative/allegati/CV-LR-29-2005_V.pdf</x:v>
      </x:c>
      <x:c r="O191" s="21" t="str">
        <x:v>NOT_ZERO</x:v>
      </x:c>
      <x:c r="P191" s="21" t="str">
        <x:v>RAFVG_REGIONAL_TABLE_2023</x:v>
      </x:c>
    </x:row>
    <x:row r="192">
      <x:c r="A192" s="20" t="str">
        <x:v>093028</x:v>
      </x:c>
      <x:c r="B192" s="21" t="str">
        <x:v>Morsano al Tagliamento</x:v>
      </x:c>
      <x:c r="C192" s="21" t="str">
        <x:v>2023_Q4</x:v>
      </x:c>
      <x:c r="D192" s="24" t="n">
        <x:v>0</x:v>
      </x:c>
      <x:c r="E192" s="24" t="n">
        <x:v>0</x:v>
      </x:c>
      <x:c r="F192" s="24" t="n">
        <x:v>0</x:v>
      </x:c>
      <x:c r="G192" s="24" t="n">
        <x:v>0</x:v>
      </x:c>
      <x:c r="H192" s="24" t="n">
        <x:f>SUM(D192:G192)</x:f>
        <x:v>0</x:v>
      </x:c>
      <x:c r="I192" s="21" t="str">
        <x:v>ZERO_REAL_SOURCE_TABLE</x:v>
      </x:c>
      <x:c r="J192" s="21" t="str">
        <x:v>MORSANO AL TAGLIAMENTO</x:v>
      </x:c>
      <x:c r="K192" s="21" t="str">
        <x:v>DIRECT_NOMINAL</x:v>
      </x:c>
      <x:c r="L192" s="52" t="n">
        <x:v>55</x:v>
      </x:c>
      <x:c r="M192" s="21" t="str">
        <x:v>RAFVG_PDF_MUNICIPAL_TABLE</x:v>
      </x:c>
      <x:c r="N192" s="21" t="str">
        <x:v>https://www.consiglio.regione.fvg.it/cms/export/sites/consiglio/attivita/valutazione/Relazioni-informative/allegati/CV-LR-29-2005_V.pdf</x:v>
      </x:c>
      <x:c r="O192" s="21" t="str">
        <x:v>REGIONAL_TABLE</x:v>
      </x:c>
      <x:c r="P192" s="21" t="str">
        <x:v>RAFVG_REGIONAL_TABLE_2023</x:v>
      </x:c>
    </x:row>
    <x:row r="193">
      <x:c r="A193" s="20" t="str">
        <x:v>093029</x:v>
      </x:c>
      <x:c r="B193" s="21" t="str">
        <x:v>Pasiano di Pordenone</x:v>
      </x:c>
      <x:c r="C193" s="21" t="str">
        <x:v>2023_Q4</x:v>
      </x:c>
      <x:c r="D193" s="24" t="n">
        <x:v>2277</x:v>
      </x:c>
      <x:c r="E193" s="24" t="n">
        <x:v>1511</x:v>
      </x:c>
      <x:c r="F193" s="24" t="n">
        <x:v>0</x:v>
      </x:c>
      <x:c r="G193" s="24" t="n">
        <x:v>0</x:v>
      </x:c>
      <x:c r="H193" s="24" t="n">
        <x:f>SUM(D193:G193)</x:f>
        <x:v>3788</x:v>
      </x:c>
      <x:c r="I193" s="21" t="str">
        <x:v>OBSERVED_POSITIVE</x:v>
      </x:c>
      <x:c r="J193" s="21" t="str">
        <x:v>PASIANO DI PORDENONE</x:v>
      </x:c>
      <x:c r="K193" s="21" t="str">
        <x:v>DIRECT_NOMINAL</x:v>
      </x:c>
      <x:c r="L193" s="52" t="n">
        <x:v>55</x:v>
      </x:c>
      <x:c r="M193" s="21" t="str">
        <x:v>RAFVG_PDF_MUNICIPAL_TABLE</x:v>
      </x:c>
      <x:c r="N193" s="21" t="str">
        <x:v>https://www.consiglio.regione.fvg.it/cms/export/sites/consiglio/attivita/valutazione/Relazioni-informative/allegati/CV-LR-29-2005_V.pdf</x:v>
      </x:c>
      <x:c r="O193" s="21" t="str">
        <x:v>NOT_ZERO</x:v>
      </x:c>
      <x:c r="P193" s="21" t="str">
        <x:v>RAFVG_REGIONAL_TABLE_2023</x:v>
      </x:c>
    </x:row>
    <x:row r="194">
      <x:c r="A194" s="20" t="str">
        <x:v>093030</x:v>
      </x:c>
      <x:c r="B194" s="21" t="str">
        <x:v>Pinzano al Tagliamento</x:v>
      </x:c>
      <x:c r="C194" s="21" t="str">
        <x:v>2023_Q4</x:v>
      </x:c>
      <x:c r="D194" s="24" t="n">
        <x:v>0</x:v>
      </x:c>
      <x:c r="E194" s="24" t="n">
        <x:v>0</x:v>
      </x:c>
      <x:c r="F194" s="24" t="n">
        <x:v>0</x:v>
      </x:c>
      <x:c r="G194" s="24" t="n">
        <x:v>0</x:v>
      </x:c>
      <x:c r="H194" s="24" t="n">
        <x:f>SUM(D194:G194)</x:f>
        <x:v>0</x:v>
      </x:c>
      <x:c r="I194" s="21" t="str">
        <x:v>ZERO_REAL_SOURCE_TABLE</x:v>
      </x:c>
      <x:c r="J194" s="21" t="str">
        <x:v>PINZANO AL TAGLIAMENTO</x:v>
      </x:c>
      <x:c r="K194" s="21" t="str">
        <x:v>DIRECT_NOMINAL</x:v>
      </x:c>
      <x:c r="L194" s="52" t="n">
        <x:v>55</x:v>
      </x:c>
      <x:c r="M194" s="21" t="str">
        <x:v>RAFVG_PDF_MUNICIPAL_TABLE</x:v>
      </x:c>
      <x:c r="N194" s="21" t="str">
        <x:v>https://www.consiglio.regione.fvg.it/cms/export/sites/consiglio/attivita/valutazione/Relazioni-informative/allegati/CV-LR-29-2005_V.pdf</x:v>
      </x:c>
      <x:c r="O194" s="21" t="str">
        <x:v>REGIONAL_TABLE</x:v>
      </x:c>
      <x:c r="P194" s="21" t="str">
        <x:v>RAFVG_REGIONAL_TABLE_2023</x:v>
      </x:c>
    </x:row>
    <x:row r="195">
      <x:c r="A195" s="20" t="str">
        <x:v>093031</x:v>
      </x:c>
      <x:c r="B195" s="21" t="str">
        <x:v>Polcenigo</x:v>
      </x:c>
      <x:c r="C195" s="21" t="str">
        <x:v>2023_Q4</x:v>
      </x:c>
      <x:c r="D195" s="24" t="n">
        <x:v>0</x:v>
      </x:c>
      <x:c r="E195" s="24" t="n">
        <x:v>2877</x:v>
      </x:c>
      <x:c r="F195" s="24" t="n">
        <x:v>0</x:v>
      </x:c>
      <x:c r="G195" s="24" t="n">
        <x:v>0</x:v>
      </x:c>
      <x:c r="H195" s="24" t="n">
        <x:f>SUM(D195:G195)</x:f>
        <x:v>2877</x:v>
      </x:c>
      <x:c r="I195" s="21" t="str">
        <x:v>OBSERVED_POSITIVE</x:v>
      </x:c>
      <x:c r="J195" s="21" t="str">
        <x:v>POLCENIGO</x:v>
      </x:c>
      <x:c r="K195" s="21" t="str">
        <x:v>DIRECT_NOMINAL</x:v>
      </x:c>
      <x:c r="L195" s="52" t="n">
        <x:v>56</x:v>
      </x:c>
      <x:c r="M195" s="21" t="str">
        <x:v>RAFVG_PDF_MUNICIPAL_TABLE</x:v>
      </x:c>
      <x:c r="N195" s="21" t="str">
        <x:v>https://www.consiglio.regione.fvg.it/cms/export/sites/consiglio/attivita/valutazione/Relazioni-informative/allegati/CV-LR-29-2005_V.pdf</x:v>
      </x:c>
      <x:c r="O195" s="21" t="str">
        <x:v>NOT_ZERO</x:v>
      </x:c>
      <x:c r="P195" s="21" t="str">
        <x:v>RAFVG_REGIONAL_TABLE_2023</x:v>
      </x:c>
    </x:row>
    <x:row r="196">
      <x:c r="A196" s="20" t="str">
        <x:v>093032</x:v>
      </x:c>
      <x:c r="B196" s="21" t="str">
        <x:v>Porcia</x:v>
      </x:c>
      <x:c r="C196" s="21" t="str">
        <x:v>2023_Q4</x:v>
      </x:c>
      <x:c r="D196" s="24" t="n">
        <x:v>5102</x:v>
      </x:c>
      <x:c r="E196" s="24" t="n">
        <x:v>4425</x:v>
      </x:c>
      <x:c r="F196" s="24" t="n">
        <x:v>0</x:v>
      </x:c>
      <x:c r="G196" s="24" t="n">
        <x:v>3444.61</x:v>
      </x:c>
      <x:c r="H196" s="24" t="n">
        <x:f>SUM(D196:G196)</x:f>
        <x:v>12971.61</x:v>
      </x:c>
      <x:c r="I196" s="21" t="str">
        <x:v>OBSERVED_POSITIVE</x:v>
      </x:c>
      <x:c r="J196" s="21" t="str">
        <x:v>PORCIA</x:v>
      </x:c>
      <x:c r="K196" s="21" t="str">
        <x:v>DIRECT_NOMINAL</x:v>
      </x:c>
      <x:c r="L196" s="52" t="n">
        <x:v>56</x:v>
      </x:c>
      <x:c r="M196" s="21" t="str">
        <x:v>RAFVG_PDF_MUNICIPAL_TABLE</x:v>
      </x:c>
      <x:c r="N196" s="21" t="str">
        <x:v>https://www.consiglio.regione.fvg.it/cms/export/sites/consiglio/attivita/valutazione/Relazioni-informative/allegati/CV-LR-29-2005_V.pdf</x:v>
      </x:c>
      <x:c r="O196" s="21" t="str">
        <x:v>NOT_ZERO</x:v>
      </x:c>
      <x:c r="P196" s="21" t="str">
        <x:v>RAFVG_REGIONAL_TABLE_2023</x:v>
      </x:c>
    </x:row>
    <x:row r="197">
      <x:c r="A197" s="20" t="str">
        <x:v>093033</x:v>
      </x:c>
      <x:c r="B197" s="21" t="str">
        <x:v>Pordenone</x:v>
      </x:c>
      <x:c r="C197" s="21" t="str">
        <x:v>2023_Q4</x:v>
      </x:c>
      <x:c r="D197" s="24" t="n">
        <x:v>30868.7</x:v>
      </x:c>
      <x:c r="E197" s="24" t="n">
        <x:v>33838</x:v>
      </x:c>
      <x:c r="F197" s="24" t="n">
        <x:v>8200</x:v>
      </x:c>
      <x:c r="G197" s="24" t="n">
        <x:v>10770</x:v>
      </x:c>
      <x:c r="H197" s="24" t="n">
        <x:f>SUM(D197:G197)</x:f>
        <x:v>83676.7</x:v>
      </x:c>
      <x:c r="I197" s="21" t="str">
        <x:v>OBSERVED_POSITIVE</x:v>
      </x:c>
      <x:c r="J197" s="21" t="str">
        <x:v>PORDENONE</x:v>
      </x:c>
      <x:c r="K197" s="21" t="str">
        <x:v>DIRECT_NOMINAL</x:v>
      </x:c>
      <x:c r="L197" s="52" t="n">
        <x:v>56</x:v>
      </x:c>
      <x:c r="M197" s="21" t="str">
        <x:v>RAFVG_PDF_MUNICIPAL_TABLE</x:v>
      </x:c>
      <x:c r="N197" s="21" t="str">
        <x:v>https://www.consiglio.regione.fvg.it/cms/export/sites/consiglio/attivita/valutazione/Relazioni-informative/allegati/CV-LR-29-2005_V.pdf</x:v>
      </x:c>
      <x:c r="O197" s="21" t="str">
        <x:v>NOT_ZERO</x:v>
      </x:c>
      <x:c r="P197" s="21" t="str">
        <x:v>RAFVG_REGIONAL_TABLE_2023</x:v>
      </x:c>
    </x:row>
    <x:row r="198">
      <x:c r="A198" s="20" t="str">
        <x:v>093034</x:v>
      </x:c>
      <x:c r="B198" s="21" t="str">
        <x:v>Prata di Pordenone</x:v>
      </x:c>
      <x:c r="C198" s="21" t="str">
        <x:v>2023_Q4</x:v>
      </x:c>
      <x:c r="D198" s="24" t="n">
        <x:v>3227.12</x:v>
      </x:c>
      <x:c r="E198" s="24" t="n">
        <x:v>0</x:v>
      </x:c>
      <x:c r="F198" s="24" t="n">
        <x:v>0</x:v>
      </x:c>
      <x:c r="G198" s="24" t="n">
        <x:v>5000</x:v>
      </x:c>
      <x:c r="H198" s="24" t="n">
        <x:f>SUM(D198:G198)</x:f>
        <x:v>8227.119999999999</x:v>
      </x:c>
      <x:c r="I198" s="21" t="str">
        <x:v>OBSERVED_POSITIVE</x:v>
      </x:c>
      <x:c r="J198" s="21" t="str">
        <x:v>PRATA DI PORDENONE</x:v>
      </x:c>
      <x:c r="K198" s="21" t="str">
        <x:v>DIRECT_NOMINAL</x:v>
      </x:c>
      <x:c r="L198" s="52" t="n">
        <x:v>57</x:v>
      </x:c>
      <x:c r="M198" s="21" t="str">
        <x:v>RAFVG_PDF_MUNICIPAL_TABLE</x:v>
      </x:c>
      <x:c r="N198" s="21" t="str">
        <x:v>https://www.consiglio.regione.fvg.it/cms/export/sites/consiglio/attivita/valutazione/Relazioni-informative/allegati/CV-LR-29-2005_V.pdf</x:v>
      </x:c>
      <x:c r="O198" s="21" t="str">
        <x:v>NOT_ZERO</x:v>
      </x:c>
      <x:c r="P198" s="21" t="str">
        <x:v>RAFVG_REGIONAL_TABLE_2023</x:v>
      </x:c>
    </x:row>
    <x:row r="199">
      <x:c r="A199" s="20" t="str">
        <x:v>093035</x:v>
      </x:c>
      <x:c r="B199" s="21" t="str">
        <x:v>Pravisdomini</x:v>
      </x:c>
      <x:c r="C199" s="21" t="str">
        <x:v>2023_Q4</x:v>
      </x:c>
      <x:c r="D199" s="24" t="n">
        <x:v>0</x:v>
      </x:c>
      <x:c r="E199" s="24" t="n">
        <x:v>0</x:v>
      </x:c>
      <x:c r="F199" s="24" t="n">
        <x:v>0</x:v>
      </x:c>
      <x:c r="G199" s="24" t="n">
        <x:v>0</x:v>
      </x:c>
      <x:c r="H199" s="24" t="n">
        <x:f>SUM(D199:G199)</x:f>
        <x:v>0</x:v>
      </x:c>
      <x:c r="I199" s="21" t="str">
        <x:v>ZERO_REAL_SOURCE_TABLE</x:v>
      </x:c>
      <x:c r="J199" s="21" t="str">
        <x:v>PRAVISDOMINI</x:v>
      </x:c>
      <x:c r="K199" s="21" t="str">
        <x:v>DIRECT_NOMINAL</x:v>
      </x:c>
      <x:c r="L199" s="52" t="n">
        <x:v>57</x:v>
      </x:c>
      <x:c r="M199" s="21" t="str">
        <x:v>RAFVG_PDF_MUNICIPAL_TABLE</x:v>
      </x:c>
      <x:c r="N199" s="21" t="str">
        <x:v>https://www.consiglio.regione.fvg.it/cms/export/sites/consiglio/attivita/valutazione/Relazioni-informative/allegati/CV-LR-29-2005_V.pdf</x:v>
      </x:c>
      <x:c r="O199" s="21" t="str">
        <x:v>REGIONAL_TABLE</x:v>
      </x:c>
      <x:c r="P199" s="21" t="str">
        <x:v>RAFVG_REGIONAL_TABLE_2023</x:v>
      </x:c>
    </x:row>
    <x:row r="200">
      <x:c r="A200" s="20" t="str">
        <x:v>093036</x:v>
      </x:c>
      <x:c r="B200" s="21" t="str">
        <x:v>Roveredo in Piano</x:v>
      </x:c>
      <x:c r="C200" s="21" t="str">
        <x:v>2023_Q4</x:v>
      </x:c>
      <x:c r="D200" s="24" t="n">
        <x:v>2609</x:v>
      </x:c>
      <x:c r="E200" s="24" t="n">
        <x:v>0</x:v>
      </x:c>
      <x:c r="F200" s="24" t="n">
        <x:v>0</x:v>
      </x:c>
      <x:c r="G200" s="24" t="n">
        <x:v>15999</x:v>
      </x:c>
      <x:c r="H200" s="24" t="n">
        <x:f>SUM(D200:G200)</x:f>
        <x:v>18608</x:v>
      </x:c>
      <x:c r="I200" s="21" t="str">
        <x:v>OBSERVED_POSITIVE</x:v>
      </x:c>
      <x:c r="J200" s="21" t="str">
        <x:v>ROVEREDO IN PIANO</x:v>
      </x:c>
      <x:c r="K200" s="21" t="str">
        <x:v>DIRECT_NOMINAL</x:v>
      </x:c>
      <x:c r="L200" s="52" t="n">
        <x:v>57</x:v>
      </x:c>
      <x:c r="M200" s="21" t="str">
        <x:v>RAFVG_PDF_MUNICIPAL_TABLE</x:v>
      </x:c>
      <x:c r="N200" s="21" t="str">
        <x:v>https://www.consiglio.regione.fvg.it/cms/export/sites/consiglio/attivita/valutazione/Relazioni-informative/allegati/CV-LR-29-2005_V.pdf</x:v>
      </x:c>
      <x:c r="O200" s="21" t="str">
        <x:v>NOT_ZERO</x:v>
      </x:c>
      <x:c r="P200" s="21" t="str">
        <x:v>RAFVG_REGIONAL_TABLE_2023</x:v>
      </x:c>
    </x:row>
    <x:row r="201">
      <x:c r="A201" s="20" t="str">
        <x:v>093037</x:v>
      </x:c>
      <x:c r="B201" s="21" t="str">
        <x:v>Sacile</x:v>
      </x:c>
      <x:c r="C201" s="21" t="str">
        <x:v>2023_Q4</x:v>
      </x:c>
      <x:c r="D201" s="24" t="n">
        <x:v>11423.79</x:v>
      </x:c>
      <x:c r="E201" s="24" t="n">
        <x:v>6000</x:v>
      </x:c>
      <x:c r="F201" s="24" t="n">
        <x:v>11500</x:v>
      </x:c>
      <x:c r="G201" s="24" t="n">
        <x:v>6503.62</x:v>
      </x:c>
      <x:c r="H201" s="24" t="n">
        <x:f>SUM(D201:G201)</x:f>
        <x:v>35427.41</x:v>
      </x:c>
      <x:c r="I201" s="21" t="str">
        <x:v>OBSERVED_POSITIVE</x:v>
      </x:c>
      <x:c r="J201" s="21" t="str">
        <x:v>SACILE</x:v>
      </x:c>
      <x:c r="K201" s="21" t="str">
        <x:v>DIRECT_NOMINAL</x:v>
      </x:c>
      <x:c r="L201" s="52" t="n">
        <x:v>57</x:v>
      </x:c>
      <x:c r="M201" s="21" t="str">
        <x:v>RAFVG_PDF_MUNICIPAL_TABLE</x:v>
      </x:c>
      <x:c r="N201" s="21" t="str">
        <x:v>https://www.consiglio.regione.fvg.it/cms/export/sites/consiglio/attivita/valutazione/Relazioni-informative/allegati/CV-LR-29-2005_V.pdf</x:v>
      </x:c>
      <x:c r="O201" s="21" t="str">
        <x:v>NOT_ZERO</x:v>
      </x:c>
      <x:c r="P201" s="21" t="str">
        <x:v>RAFVG_REGIONAL_TABLE_2023</x:v>
      </x:c>
    </x:row>
    <x:row r="202">
      <x:c r="A202" s="20" t="str">
        <x:v>093038</x:v>
      </x:c>
      <x:c r="B202" s="21" t="str">
        <x:v>San Giorgio della Richinvelda</x:v>
      </x:c>
      <x:c r="C202" s="21" t="str">
        <x:v>2022_Q1</x:v>
      </x:c>
      <x:c r="D202" s="24" t="n">
        <x:v>1300</x:v>
      </x:c>
      <x:c r="E202" s="24" t="n">
        <x:v>0</x:v>
      </x:c>
      <x:c r="F202" s="24" t="n">
        <x:v>0</x:v>
      </x:c>
      <x:c r="G202" s="24" t="n">
        <x:v>0</x:v>
      </x:c>
      <x:c r="H202" s="24" t="n">
        <x:f>SUM(D202:G202)</x:f>
        <x:v>1300</x:v>
      </x:c>
      <x:c r="I202" s="21" t="str">
        <x:v>OBSERVED_POSITIVE</x:v>
      </x:c>
      <x:c r="J202" s="21" t="str">
        <x:v>SAN GIORGIO DELLA RICHINVELDA</x:v>
      </x:c>
      <x:c r="K202" s="21" t="str">
        <x:v>DIRECT_NOMINAL</x:v>
      </x:c>
      <x:c r="L202" s="52" t="n">
        <x:v>58</x:v>
      </x:c>
      <x:c r="M202" s="21" t="str">
        <x:v>RAFVG_PDF_MUNICIPAL_TABLE</x:v>
      </x:c>
      <x:c r="N202" s="21" t="str">
        <x:v>https://www.consiglio.regione.fvg.it/cms/export/sites/consiglio/attivita/valutazione/Relazioni-informative/allegati/CV-LR-29-2005_V.pdf</x:v>
      </x:c>
      <x:c r="O202" s="21" t="str">
        <x:v>NOT_ZERO</x:v>
      </x:c>
      <x:c r="P202" s="21" t="str">
        <x:v>RAFVG_REGIONAL_TABLE_2023</x:v>
      </x:c>
    </x:row>
    <x:row r="203">
      <x:c r="A203" s="20" t="str">
        <x:v>093039</x:v>
      </x:c>
      <x:c r="B203" s="21" t="str">
        <x:v>San Martino al Tagliamento</x:v>
      </x:c>
      <x:c r="C203" s="21" t="str">
        <x:v>2021_Q2</x:v>
      </x:c>
      <x:c r="D203" s="24" t="n">
        <x:v>958</x:v>
      </x:c>
      <x:c r="E203" s="24" t="n">
        <x:v>2860</x:v>
      </x:c>
      <x:c r="F203" s="24" t="n">
        <x:v>0</x:v>
      </x:c>
      <x:c r="G203" s="24" t="n">
        <x:v>0</x:v>
      </x:c>
      <x:c r="H203" s="24" t="n">
        <x:f>SUM(D203:G203)</x:f>
        <x:v>3818</x:v>
      </x:c>
      <x:c r="I203" s="21" t="str">
        <x:v>OBSERVED_POSITIVE</x:v>
      </x:c>
      <x:c r="J203" s="21" t="str">
        <x:v>SAN MARTINO AL TAGLIAMENTO</x:v>
      </x:c>
      <x:c r="K203" s="21" t="str">
        <x:v>DIRECT_NOMINAL</x:v>
      </x:c>
      <x:c r="L203" s="52" t="n">
        <x:v>58</x:v>
      </x:c>
      <x:c r="M203" s="21" t="str">
        <x:v>RAFVG_PDF_MUNICIPAL_TABLE</x:v>
      </x:c>
      <x:c r="N203" s="21" t="str">
        <x:v>https://www.consiglio.regione.fvg.it/cms/export/sites/consiglio/attivita/valutazione/Relazioni-informative/allegati/CV-LR-29-2005_V.pdf</x:v>
      </x:c>
      <x:c r="O203" s="21" t="str">
        <x:v>NOT_ZERO</x:v>
      </x:c>
      <x:c r="P203" s="21" t="str">
        <x:v>RAFVG_REGIONAL_TABLE_2023</x:v>
      </x:c>
    </x:row>
    <x:row r="204">
      <x:c r="A204" s="20" t="str">
        <x:v>093040</x:v>
      </x:c>
      <x:c r="B204" s="21" t="str">
        <x:v>San Quirino</x:v>
      </x:c>
      <x:c r="C204" s="21" t="str">
        <x:v>2023_Q4</x:v>
      </x:c>
      <x:c r="D204" s="24" t="n">
        <x:v>0</x:v>
      </x:c>
      <x:c r="E204" s="24" t="n">
        <x:v>0</x:v>
      </x:c>
      <x:c r="F204" s="24" t="n">
        <x:v>0</x:v>
      </x:c>
      <x:c r="G204" s="24" t="n">
        <x:v>0</x:v>
      </x:c>
      <x:c r="H204" s="24" t="n">
        <x:f>SUM(D204:G204)</x:f>
        <x:v>0</x:v>
      </x:c>
      <x:c r="I204" s="21" t="str">
        <x:v>ZERO_REAL_SOURCE_TABLE</x:v>
      </x:c>
      <x:c r="J204" s="21" t="str">
        <x:v>SAN QUIRINO</x:v>
      </x:c>
      <x:c r="K204" s="21" t="str">
        <x:v>DIRECT_NOMINAL</x:v>
      </x:c>
      <x:c r="L204" s="52" t="n">
        <x:v>58</x:v>
      </x:c>
      <x:c r="M204" s="21" t="str">
        <x:v>RAFVG_PDF_MUNICIPAL_TABLE</x:v>
      </x:c>
      <x:c r="N204" s="21" t="str">
        <x:v>https://www.consiglio.regione.fvg.it/cms/export/sites/consiglio/attivita/valutazione/Relazioni-informative/allegati/CV-LR-29-2005_V.pdf</x:v>
      </x:c>
      <x:c r="O204" s="21" t="str">
        <x:v>REGIONAL_TABLE</x:v>
      </x:c>
      <x:c r="P204" s="21" t="str">
        <x:v>RAFVG_REGIONAL_TABLE_2023</x:v>
      </x:c>
    </x:row>
    <x:row r="205">
      <x:c r="A205" s="20" t="str">
        <x:v>093041</x:v>
      </x:c>
      <x:c r="B205" s="21" t="str">
        <x:v>San Vito al Tagliamento</x:v>
      </x:c>
      <x:c r="C205" s="21" t="str">
        <x:v>2023_Q4</x:v>
      </x:c>
      <x:c r="D205" s="24" t="n">
        <x:v>7586</x:v>
      </x:c>
      <x:c r="E205" s="24" t="n">
        <x:v>2400</x:v>
      </x:c>
      <x:c r="F205" s="24" t="n">
        <x:v>0</x:v>
      </x:c>
      <x:c r="G205" s="24" t="n">
        <x:v>6081.07</x:v>
      </x:c>
      <x:c r="H205" s="24" t="n">
        <x:f>SUM(D205:G205)</x:f>
        <x:v>16067.07</x:v>
      </x:c>
      <x:c r="I205" s="21" t="str">
        <x:v>OBSERVED_POSITIVE</x:v>
      </x:c>
      <x:c r="J205" s="21" t="str">
        <x:v>SAN VITO AL TAGLIAMENTO</x:v>
      </x:c>
      <x:c r="K205" s="21" t="str">
        <x:v>DIRECT_NOMINAL</x:v>
      </x:c>
      <x:c r="L205" s="52" t="n">
        <x:v>58</x:v>
      </x:c>
      <x:c r="M205" s="21" t="str">
        <x:v>RAFVG_PDF_MUNICIPAL_TABLE</x:v>
      </x:c>
      <x:c r="N205" s="21" t="str">
        <x:v>https://www.consiglio.regione.fvg.it/cms/export/sites/consiglio/attivita/valutazione/Relazioni-informative/allegati/CV-LR-29-2005_V.pdf</x:v>
      </x:c>
      <x:c r="O205" s="21" t="str">
        <x:v>NOT_ZERO</x:v>
      </x:c>
      <x:c r="P205" s="21" t="str">
        <x:v>RAFVG_REGIONAL_TABLE_2023</x:v>
      </x:c>
    </x:row>
    <x:row r="206">
      <x:c r="A206" s="20" t="str">
        <x:v>093042</x:v>
      </x:c>
      <x:c r="B206" s="21" t="str">
        <x:v>Sequals</x:v>
      </x:c>
      <x:c r="C206" s="21" t="str">
        <x:v>2023_Q4</x:v>
      </x:c>
      <x:c r="D206" s="24" t="n">
        <x:v>0</x:v>
      </x:c>
      <x:c r="E206" s="24" t="n">
        <x:v>0</x:v>
      </x:c>
      <x:c r="F206" s="24" t="n">
        <x:v>0</x:v>
      </x:c>
      <x:c r="G206" s="24" t="n">
        <x:v>0</x:v>
      </x:c>
      <x:c r="H206" s="24" t="n">
        <x:f>SUM(D206:G206)</x:f>
        <x:v>0</x:v>
      </x:c>
      <x:c r="I206" s="21" t="str">
        <x:v>ZERO_REAL_SOURCE_TABLE</x:v>
      </x:c>
      <x:c r="J206" s="21" t="str">
        <x:v>SEQUALS</x:v>
      </x:c>
      <x:c r="K206" s="21" t="str">
        <x:v>DIRECT_NOMINAL</x:v>
      </x:c>
      <x:c r="L206" s="52" t="n">
        <x:v>59</x:v>
      </x:c>
      <x:c r="M206" s="21" t="str">
        <x:v>RAFVG_PDF_MUNICIPAL_TABLE</x:v>
      </x:c>
      <x:c r="N206" s="21" t="str">
        <x:v>https://www.consiglio.regione.fvg.it/cms/export/sites/consiglio/attivita/valutazione/Relazioni-informative/allegati/CV-LR-29-2005_V.pdf</x:v>
      </x:c>
      <x:c r="O206" s="21" t="str">
        <x:v>REGIONAL_TABLE</x:v>
      </x:c>
      <x:c r="P206" s="21" t="str">
        <x:v>RAFVG_REGIONAL_TABLE_2023</x:v>
      </x:c>
    </x:row>
    <x:row r="207">
      <x:c r="A207" s="20" t="str">
        <x:v>093043</x:v>
      </x:c>
      <x:c r="B207" s="21" t="str">
        <x:v>Sesto al Reghena</x:v>
      </x:c>
      <x:c r="C207" s="21" t="str">
        <x:v>2023_Q4</x:v>
      </x:c>
      <x:c r="D207" s="24" t="n">
        <x:v>570</x:v>
      </x:c>
      <x:c r="E207" s="24" t="n">
        <x:v>0</x:v>
      </x:c>
      <x:c r="F207" s="24" t="n">
        <x:v>0</x:v>
      </x:c>
      <x:c r="G207" s="24" t="n">
        <x:v>0</x:v>
      </x:c>
      <x:c r="H207" s="24" t="n">
        <x:f>SUM(D207:G207)</x:f>
        <x:v>570</x:v>
      </x:c>
      <x:c r="I207" s="21" t="str">
        <x:v>OBSERVED_POSITIVE</x:v>
      </x:c>
      <x:c r="J207" s="21" t="str">
        <x:v>SESTO AL REGHENA</x:v>
      </x:c>
      <x:c r="K207" s="21" t="str">
        <x:v>DIRECT_NOMINAL</x:v>
      </x:c>
      <x:c r="L207" s="52" t="n">
        <x:v>59</x:v>
      </x:c>
      <x:c r="M207" s="21" t="str">
        <x:v>RAFVG_PDF_MUNICIPAL_TABLE</x:v>
      </x:c>
      <x:c r="N207" s="21" t="str">
        <x:v>https://www.consiglio.regione.fvg.it/cms/export/sites/consiglio/attivita/valutazione/Relazioni-informative/allegati/CV-LR-29-2005_V.pdf</x:v>
      </x:c>
      <x:c r="O207" s="21" t="str">
        <x:v>NOT_ZERO</x:v>
      </x:c>
      <x:c r="P207" s="21" t="str">
        <x:v>RAFVG_REGIONAL_TABLE_2023</x:v>
      </x:c>
    </x:row>
    <x:row r="208">
      <x:c r="A208" s="20" t="str">
        <x:v>093044</x:v>
      </x:c>
      <x:c r="B208" s="21" t="str">
        <x:v>Spilimbergo</x:v>
      </x:c>
      <x:c r="C208" s="21" t="str">
        <x:v>2023_Q4</x:v>
      </x:c>
      <x:c r="D208" s="24" t="n">
        <x:v>4050.65</x:v>
      </x:c>
      <x:c r="E208" s="24" t="n">
        <x:v>0</x:v>
      </x:c>
      <x:c r="F208" s="24" t="n">
        <x:v>2323</x:v>
      </x:c>
      <x:c r="G208" s="24" t="n">
        <x:v>10260.7</x:v>
      </x:c>
      <x:c r="H208" s="24" t="n">
        <x:f>SUM(D208:G208)</x:f>
        <x:v>16634.35</x:v>
      </x:c>
      <x:c r="I208" s="21" t="str">
        <x:v>OBSERVED_POSITIVE</x:v>
      </x:c>
      <x:c r="J208" s="21" t="str">
        <x:v>SPILIMBERGO</x:v>
      </x:c>
      <x:c r="K208" s="21" t="str">
        <x:v>DIRECT_NOMINAL</x:v>
      </x:c>
      <x:c r="L208" s="52" t="n">
        <x:v>59</x:v>
      </x:c>
      <x:c r="M208" s="21" t="str">
        <x:v>RAFVG_PDF_MUNICIPAL_TABLE</x:v>
      </x:c>
      <x:c r="N208" s="21" t="str">
        <x:v>https://www.consiglio.regione.fvg.it/cms/export/sites/consiglio/attivita/valutazione/Relazioni-informative/allegati/CV-LR-29-2005_V.pdf</x:v>
      </x:c>
      <x:c r="O208" s="21" t="str">
        <x:v>NOT_ZERO</x:v>
      </x:c>
      <x:c r="P208" s="21" t="str">
        <x:v>RAFVG_REGIONAL_TABLE_2023</x:v>
      </x:c>
    </x:row>
    <x:row r="209">
      <x:c r="A209" s="20" t="str">
        <x:v>093045</x:v>
      </x:c>
      <x:c r="B209" s="21" t="str">
        <x:v>Tramonti di Sopra</x:v>
      </x:c>
      <x:c r="C209" s="21" t="str">
        <x:v>2023_Q4</x:v>
      </x:c>
      <x:c r="D209" s="24" t="n">
        <x:v>0</x:v>
      </x:c>
      <x:c r="E209" s="24" t="n">
        <x:v>0</x:v>
      </x:c>
      <x:c r="F209" s="24" t="n">
        <x:v>0</x:v>
      </x:c>
      <x:c r="G209" s="24" t="n">
        <x:v>0</x:v>
      </x:c>
      <x:c r="H209" s="24" t="n">
        <x:f>SUM(D209:G209)</x:f>
        <x:v>0</x:v>
      </x:c>
      <x:c r="I209" s="21" t="str">
        <x:v>ZERO_REAL_SOURCE_TABLE</x:v>
      </x:c>
      <x:c r="J209" s="21" t="str">
        <x:v>TRAMONTI DI SOPRA</x:v>
      </x:c>
      <x:c r="K209" s="21" t="str">
        <x:v>DIRECT_NOMINAL</x:v>
      </x:c>
      <x:c r="L209" s="52" t="n">
        <x:v>60</x:v>
      </x:c>
      <x:c r="M209" s="21" t="str">
        <x:v>RAFVG_PDF_MUNICIPAL_TABLE</x:v>
      </x:c>
      <x:c r="N209" s="21" t="str">
        <x:v>https://www.consiglio.regione.fvg.it/cms/export/sites/consiglio/attivita/valutazione/Relazioni-informative/allegati/CV-LR-29-2005_V.pdf</x:v>
      </x:c>
      <x:c r="O209" s="21" t="str">
        <x:v>REGIONAL_TABLE</x:v>
      </x:c>
      <x:c r="P209" s="21" t="str">
        <x:v>RAFVG_REGIONAL_TABLE_2023</x:v>
      </x:c>
    </x:row>
    <x:row r="210">
      <x:c r="A210" s="20" t="str">
        <x:v>093046</x:v>
      </x:c>
      <x:c r="B210" s="21" t="str">
        <x:v>Tramonti di Sotto</x:v>
      </x:c>
      <x:c r="C210" s="21" t="str">
        <x:v>2023_Q4</x:v>
      </x:c>
      <x:c r="D210" s="24" t="n">
        <x:v>0</x:v>
      </x:c>
      <x:c r="E210" s="24" t="n">
        <x:v>0</x:v>
      </x:c>
      <x:c r="F210" s="24" t="n">
        <x:v>0</x:v>
      </x:c>
      <x:c r="G210" s="24" t="n">
        <x:v>0</x:v>
      </x:c>
      <x:c r="H210" s="24" t="n">
        <x:f>SUM(D210:G210)</x:f>
        <x:v>0</x:v>
      </x:c>
      <x:c r="I210" s="21" t="str">
        <x:v>ZERO_REAL_SOURCE_TABLE</x:v>
      </x:c>
      <x:c r="J210" s="21" t="str">
        <x:v>TRAMONTI DI SOTTO</x:v>
      </x:c>
      <x:c r="K210" s="21" t="str">
        <x:v>DIRECT_NOMINAL</x:v>
      </x:c>
      <x:c r="L210" s="52" t="n">
        <x:v>60</x:v>
      </x:c>
      <x:c r="M210" s="21" t="str">
        <x:v>RAFVG_PDF_MUNICIPAL_TABLE</x:v>
      </x:c>
      <x:c r="N210" s="21" t="str">
        <x:v>https://www.consiglio.regione.fvg.it/cms/export/sites/consiglio/attivita/valutazione/Relazioni-informative/allegati/CV-LR-29-2005_V.pdf</x:v>
      </x:c>
      <x:c r="O210" s="21" t="str">
        <x:v>REGIONAL_TABLE</x:v>
      </x:c>
      <x:c r="P210" s="21" t="str">
        <x:v>RAFVG_REGIONAL_TABLE_2023</x:v>
      </x:c>
    </x:row>
    <x:row r="211">
      <x:c r="A211" s="20" t="str">
        <x:v>093047</x:v>
      </x:c>
      <x:c r="B211" s="21" t="str">
        <x:v>Travesio</x:v>
      </x:c>
      <x:c r="C211" s="21" t="str">
        <x:v>2023_Q4</x:v>
      </x:c>
      <x:c r="D211" s="24" t="n">
        <x:v>0</x:v>
      </x:c>
      <x:c r="E211" s="24" t="n">
        <x:v>0</x:v>
      </x:c>
      <x:c r="F211" s="24" t="n">
        <x:v>0</x:v>
      </x:c>
      <x:c r="G211" s="24" t="n">
        <x:v>0</x:v>
      </x:c>
      <x:c r="H211" s="24" t="n">
        <x:f>SUM(D211:G211)</x:f>
        <x:v>0</x:v>
      </x:c>
      <x:c r="I211" s="21" t="str">
        <x:v>ZERO_REAL_SOURCE_TABLE</x:v>
      </x:c>
      <x:c r="J211" s="21" t="str">
        <x:v>TRAVESIO</x:v>
      </x:c>
      <x:c r="K211" s="21" t="str">
        <x:v>DIRECT_NOMINAL</x:v>
      </x:c>
      <x:c r="L211" s="52" t="n">
        <x:v>60</x:v>
      </x:c>
      <x:c r="M211" s="21" t="str">
        <x:v>RAFVG_PDF_MUNICIPAL_TABLE</x:v>
      </x:c>
      <x:c r="N211" s="21" t="str">
        <x:v>https://www.consiglio.regione.fvg.it/cms/export/sites/consiglio/attivita/valutazione/Relazioni-informative/allegati/CV-LR-29-2005_V.pdf</x:v>
      </x:c>
      <x:c r="O211" s="21" t="str">
        <x:v>REGIONAL_TABLE</x:v>
      </x:c>
      <x:c r="P211" s="21" t="str">
        <x:v>RAFVG_REGIONAL_TABLE_2023</x:v>
      </x:c>
    </x:row>
    <x:row r="212">
      <x:c r="A212" s="20" t="str">
        <x:v>093049</x:v>
      </x:c>
      <x:c r="B212" s="21" t="str">
        <x:v>Vito d'Asio</x:v>
      </x:c>
      <x:c r="C212" s="21" t="str">
        <x:v>2023_Q4</x:v>
      </x:c>
      <x:c r="D212" s="24" t="n">
        <x:v>0</x:v>
      </x:c>
      <x:c r="E212" s="24" t="n">
        <x:v>0</x:v>
      </x:c>
      <x:c r="F212" s="24" t="n">
        <x:v>0</x:v>
      </x:c>
      <x:c r="G212" s="24" t="n">
        <x:v>0</x:v>
      </x:c>
      <x:c r="H212" s="24" t="n">
        <x:f>SUM(D212:G212)</x:f>
        <x:v>0</x:v>
      </x:c>
      <x:c r="I212" s="21" t="str">
        <x:v>ZERO_REAL_SOURCE_TABLE</x:v>
      </x:c>
      <x:c r="J212" s="21" t="str">
        <x:v>VITO D'ASIO</x:v>
      </x:c>
      <x:c r="K212" s="21" t="str">
        <x:v>DIRECT_NOMINAL</x:v>
      </x:c>
      <x:c r="L212" s="52" t="n">
        <x:v>61</x:v>
      </x:c>
      <x:c r="M212" s="21" t="str">
        <x:v>RAFVG_PDF_MUNICIPAL_TABLE</x:v>
      </x:c>
      <x:c r="N212" s="21" t="str">
        <x:v>https://www.consiglio.regione.fvg.it/cms/export/sites/consiglio/attivita/valutazione/Relazioni-informative/allegati/CV-LR-29-2005_V.pdf</x:v>
      </x:c>
      <x:c r="O212" s="21" t="str">
        <x:v>REGIONAL_TABLE</x:v>
      </x:c>
      <x:c r="P212" s="21" t="str">
        <x:v>RAFVG_REGIONAL_TABLE_2023</x:v>
      </x:c>
    </x:row>
    <x:row r="213">
      <x:c r="A213" s="20" t="str">
        <x:v>093050</x:v>
      </x:c>
      <x:c r="B213" s="21" t="str">
        <x:v>Vivaro</x:v>
      </x:c>
      <x:c r="C213" s="21" t="str">
        <x:v>2023_Q4</x:v>
      </x:c>
      <x:c r="D213" s="24" t="n">
        <x:v>660.4</x:v>
      </x:c>
      <x:c r="E213" s="24" t="n">
        <x:v>0</x:v>
      </x:c>
      <x:c r="F213" s="24" t="n">
        <x:v>0</x:v>
      </x:c>
      <x:c r="G213" s="24" t="n">
        <x:v>0</x:v>
      </x:c>
      <x:c r="H213" s="24" t="n">
        <x:f>SUM(D213:G213)</x:f>
        <x:v>660.4</x:v>
      </x:c>
      <x:c r="I213" s="21" t="str">
        <x:v>OBSERVED_POSITIVE</x:v>
      </x:c>
      <x:c r="J213" s="21" t="str">
        <x:v>VIVARO</x:v>
      </x:c>
      <x:c r="K213" s="21" t="str">
        <x:v>DIRECT_NOMINAL</x:v>
      </x:c>
      <x:c r="L213" s="52" t="n">
        <x:v>61</x:v>
      </x:c>
      <x:c r="M213" s="21" t="str">
        <x:v>RAFVG_PDF_MUNICIPAL_TABLE</x:v>
      </x:c>
      <x:c r="N213" s="21" t="str">
        <x:v>https://www.consiglio.regione.fvg.it/cms/export/sites/consiglio/attivita/valutazione/Relazioni-informative/allegati/CV-LR-29-2005_V.pdf</x:v>
      </x:c>
      <x:c r="O213" s="21" t="str">
        <x:v>NOT_ZERO</x:v>
      </x:c>
      <x:c r="P213" s="21" t="str">
        <x:v>RAFVG_REGIONAL_TABLE_2023</x:v>
      </x:c>
    </x:row>
    <x:row r="214">
      <x:c r="A214" s="20" t="str">
        <x:v>093051</x:v>
      </x:c>
      <x:c r="B214" s="21" t="str">
        <x:v>Zoppola</x:v>
      </x:c>
      <x:c r="C214" s="21" t="str">
        <x:v>2023_Q4</x:v>
      </x:c>
      <x:c r="D214" s="24" t="n">
        <x:v>2819</x:v>
      </x:c>
      <x:c r="E214" s="24" t="n">
        <x:v>3300</x:v>
      </x:c>
      <x:c r="F214" s="24" t="n">
        <x:v>0</x:v>
      </x:c>
      <x:c r="G214" s="24" t="n">
        <x:v>0</x:v>
      </x:c>
      <x:c r="H214" s="24" t="n">
        <x:f>SUM(D214:G214)</x:f>
        <x:v>6119</x:v>
      </x:c>
      <x:c r="I214" s="21" t="str">
        <x:v>OBSERVED_POSITIVE</x:v>
      </x:c>
      <x:c r="J214" s="21" t="str">
        <x:v>ZOPPOLA</x:v>
      </x:c>
      <x:c r="K214" s="21" t="str">
        <x:v>DIRECT_NOMINAL</x:v>
      </x:c>
      <x:c r="L214" s="52" t="n">
        <x:v>61</x:v>
      </x:c>
      <x:c r="M214" s="21" t="str">
        <x:v>RAFVG_PDF_MUNICIPAL_TABLE</x:v>
      </x:c>
      <x:c r="N214" s="21" t="str">
        <x:v>https://www.consiglio.regione.fvg.it/cms/export/sites/consiglio/attivita/valutazione/Relazioni-informative/allegati/CV-LR-29-2005_V.pdf</x:v>
      </x:c>
      <x:c r="O214" s="21" t="str">
        <x:v>NOT_ZERO</x:v>
      </x:c>
      <x:c r="P214" s="21" t="str">
        <x:v>RAFVG_REGIONAL_TABLE_2023</x:v>
      </x:c>
    </x:row>
    <x:row r="215">
      <x:c r="A215" s="20" t="str">
        <x:v>093052</x:v>
      </x:c>
      <x:c r="B215" s="21" t="str">
        <x:v>Vajont</x:v>
      </x:c>
      <x:c r="C215" s="21" t="str">
        <x:v>2023_Q4</x:v>
      </x:c>
      <x:c r="D215" s="24" t="n">
        <x:v>0</x:v>
      </x:c>
      <x:c r="E215" s="24" t="n">
        <x:v>0</x:v>
      </x:c>
      <x:c r="F215" s="24" t="n">
        <x:v>0</x:v>
      </x:c>
      <x:c r="G215" s="24" t="n">
        <x:v>0</x:v>
      </x:c>
      <x:c r="H215" s="24" t="n">
        <x:f>SUM(D215:G215)</x:f>
        <x:v>0</x:v>
      </x:c>
      <x:c r="I215" s="21" t="str">
        <x:v>ZERO_REAL_SOURCE_TABLE</x:v>
      </x:c>
      <x:c r="J215" s="21" t="str">
        <x:v>VAJONT</x:v>
      </x:c>
      <x:c r="K215" s="21" t="str">
        <x:v>DIRECT_NOMINAL</x:v>
      </x:c>
      <x:c r="L215" s="52" t="n">
        <x:v>60</x:v>
      </x:c>
      <x:c r="M215" s="21" t="str">
        <x:v>RAFVG_PDF_MUNICIPAL_TABLE</x:v>
      </x:c>
      <x:c r="N215" s="21" t="str">
        <x:v>https://www.consiglio.regione.fvg.it/cms/export/sites/consiglio/attivita/valutazione/Relazioni-informative/allegati/CV-LR-29-2005_V.pdf</x:v>
      </x:c>
      <x:c r="O215" s="21" t="str">
        <x:v>REGIONAL_TABLE</x:v>
      </x:c>
      <x:c r="P215" s="21" t="str">
        <x:v>RAFVG_REGIONAL_TABLE_2023</x:v>
      </x:c>
    </x:row>
    <x:row r="216">
      <x:c r="A216" s="20" t="str">
        <x:v>093053</x:v>
      </x:c>
      <x:c r="B216" s="21" t="str">
        <x:v>Valvasone Arzene</x:v>
      </x:c>
      <x:c r="C216" s="21" t="str">
        <x:v>2023_Q4</x:v>
      </x:c>
      <x:c r="D216" s="24" t="n">
        <x:v>0</x:v>
      </x:c>
      <x:c r="E216" s="24" t="n">
        <x:v>0</x:v>
      </x:c>
      <x:c r="F216" s="24" t="n">
        <x:v>0</x:v>
      </x:c>
      <x:c r="G216" s="24" t="n">
        <x:v>0</x:v>
      </x:c>
      <x:c r="H216" s="24" t="n">
        <x:f>SUM(D216:G216)</x:f>
        <x:v>0</x:v>
      </x:c>
      <x:c r="I216" s="21" t="str">
        <x:v>ZERO_REAL_SOURCE_TABLE</x:v>
      </x:c>
      <x:c r="J216" s="21" t="str">
        <x:v>VALVASONE ARZENE</x:v>
      </x:c>
      <x:c r="K216" s="21" t="str">
        <x:v>DIRECT_NOMINAL</x:v>
      </x:c>
      <x:c r="L216" s="52" t="n">
        <x:v>60</x:v>
      </x:c>
      <x:c r="M216" s="21" t="str">
        <x:v>RAFVG_PDF_MUNICIPAL_TABLE</x:v>
      </x:c>
      <x:c r="N216" s="21" t="str">
        <x:v>https://www.consiglio.regione.fvg.it/cms/export/sites/consiglio/attivita/valutazione/Relazioni-informative/allegati/CV-LR-29-2005_V.pdf</x:v>
      </x:c>
      <x:c r="O216" s="21" t="str">
        <x:v>REGIONAL_TABLE</x:v>
      </x:c>
      <x:c r="P216" s="21" t="str">
        <x:v>RAFVG_REGIONAL_TABLE_2023</x:v>
      </x:c>
    </x:row>
  </x:sheetData>
  <x:conditionalFormatting sqref="A2:P216">
    <x:cfRule type="expression" dxfId="3" priority="1">
      <x:formula>$O2="EXTERNAL_EVIDENCE"</x:formula>
    </x:cfRule>
    <x:cfRule type="expression" dxfId="4" priority="2">
      <x:formula>$O2="REGIONAL_TABLE"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c0689e297a4f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4" hidden="0" customWidth="1"/>
    <x:col min="5" max="5" width="12" hidden="0" customWidth="1"/>
  </x:cols>
  <x:sheetData>
    <x:row r="1">
      <x:c r="A1" s="44" t="str">
        <x:v>SECTION</x:v>
      </x:c>
      <x:c r="B1" s="44" t="str">
        <x:v>METRIC</x:v>
      </x:c>
      <x:c r="C1" s="44" t="str">
        <x:v>VALUE</x:v>
      </x:c>
      <x:c r="D1" s="44" t="str">
        <x:v>TARGET / CONTRACT</x:v>
      </x:c>
      <x:c r="E1" s="44" t="str">
        <x:v>STATUS</x:v>
      </x:c>
    </x:row>
    <x:row r="2">
      <x:c r="A2" s="21" t="str">
        <x:v>MASTER</x:v>
      </x:c>
      <x:c r="B2" s="21" t="str">
        <x:v>ROWS</x:v>
      </x:c>
      <x:c r="C2" s="24" t="n">
        <x:v>215</x:v>
      </x:c>
      <x:c r="D2" s="24" t="n">
        <x:v>215</x:v>
      </x:c>
      <x:c r="E2" s="21" t="str">
        <x:v>PASS</x:v>
      </x:c>
    </x:row>
    <x:row r="3">
      <x:c r="A3" s="21" t="str">
        <x:v>MASTER</x:v>
      </x:c>
      <x:c r="B3" s="21" t="str">
        <x:v>DISTINCT_PRO_COM</x:v>
      </x:c>
      <x:c r="C3" s="24" t="n">
        <x:v>215</x:v>
      </x:c>
      <x:c r="D3" s="24" t="n">
        <x:v>215</x:v>
      </x:c>
      <x:c r="E3" s="21" t="str">
        <x:v>PASS</x:v>
      </x:c>
    </x:row>
    <x:row r="4">
      <x:c r="A4" s="21" t="str">
        <x:v>MASTER</x:v>
      </x:c>
      <x:c r="B4" s="21" t="str">
        <x:v>DUPLICATE_PRO_COM</x:v>
      </x:c>
      <x:c r="C4" s="24" t="n">
        <x:v>0</x:v>
      </x:c>
      <x:c r="D4" s="24" t="n">
        <x:v>0</x:v>
      </x:c>
      <x:c r="E4" s="21" t="str">
        <x:v>PASS</x:v>
      </x:c>
    </x:row>
    <x:row r="5">
      <x:c r="A5" s="21" t="str">
        <x:v>MASTER</x:v>
      </x:c>
      <x:c r="B5" s="21" t="str">
        <x:v>CROSS_SOURCE_NAME_MISMATCH</x:v>
      </x:c>
      <x:c r="C5" s="24" t="n">
        <x:v>0</x:v>
      </x:c>
      <x:c r="D5" s="24" t="n">
        <x:v>0</x:v>
      </x:c>
      <x:c r="E5" s="21" t="str">
        <x:v>PASS</x:v>
      </x:c>
    </x:row>
    <x:row r="6">
      <x:c r="A6" s="21" t="str">
        <x:v>MASTER</x:v>
      </x:c>
      <x:c r="B6" s="21" t="str">
        <x:v>PARCO_AUTO_MISSING</x:v>
      </x:c>
      <x:c r="C6" s="24" t="n">
        <x:v>0</x:v>
      </x:c>
      <x:c r="D6" s="24" t="n">
        <x:v>0</x:v>
      </x:c>
      <x:c r="E6" s="21" t="str">
        <x:v>PASS</x:v>
      </x:c>
    </x:row>
    <x:row r="7">
      <x:c r="A7" s="21" t="str">
        <x:v>MASTER</x:v>
      </x:c>
      <x:c r="B7" s="21" t="str">
        <x:v>TURISMO_MISSING</x:v>
      </x:c>
      <x:c r="C7" s="24" t="n">
        <x:v>0</x:v>
      </x:c>
      <x:c r="D7" s="24" t="n">
        <x:v>0</x:v>
      </x:c>
      <x:c r="E7" s="21" t="str">
        <x:v>PASS</x:v>
      </x:c>
    </x:row>
    <x:row r="8">
      <x:c r="A8" s="21" t="str">
        <x:v>MASTER</x:v>
      </x:c>
      <x:c r="B8" s="21" t="str">
        <x:v>GDO_MISSING</x:v>
      </x:c>
      <x:c r="C8" s="24" t="n">
        <x:v>0</x:v>
      </x:c>
      <x:c r="D8" s="24" t="n">
        <x:v>0</x:v>
      </x:c>
      <x:c r="E8" s="21" t="str">
        <x:v>PASS</x:v>
      </x:c>
    </x:row>
    <x:row r="9">
      <x:c r="A9" s="21" t="str">
        <x:v>MASTER</x:v>
      </x:c>
      <x:c r="B9" s="21" t="str">
        <x:v>NEGATIVE_VALUES_ALL_INPUTS</x:v>
      </x:c>
      <x:c r="C9" s="24" t="n">
        <x:v>0</x:v>
      </x:c>
      <x:c r="D9" s="24" t="n">
        <x:v>0</x:v>
      </x:c>
      <x:c r="E9" s="21" t="str">
        <x:v>PASS</x:v>
      </x:c>
    </x:row>
    <x:row r="10">
      <x:c r="A10" s="21" t="str">
        <x:v>PARCO_AUTO</x:v>
      </x:c>
      <x:c r="B10" s="21" t="str">
        <x:v>COUNT</x:v>
      </x:c>
      <x:c r="C10" s="24" t="n">
        <x:v>215</x:v>
      </x:c>
      <x:c r="D10" s="24" t="n">
        <x:v>215</x:v>
      </x:c>
      <x:c r="E10" s="21" t="str">
        <x:v>PASS</x:v>
      </x:c>
    </x:row>
    <x:row r="11">
      <x:c r="A11" s="21" t="str">
        <x:v>PARCO_AUTO</x:v>
      </x:c>
      <x:c r="B11" s="21" t="str">
        <x:v>MISSING</x:v>
      </x:c>
      <x:c r="C11" s="24" t="n">
        <x:v>0</x:v>
      </x:c>
      <x:c r="D11" s="24" t="n">
        <x:v>0</x:v>
      </x:c>
      <x:c r="E11" s="21" t="str">
        <x:v>PASS</x:v>
      </x:c>
    </x:row>
    <x:row r="12">
      <x:c r="A12" s="21" t="str">
        <x:v>PARCO_AUTO</x:v>
      </x:c>
      <x:c r="B12" s="21" t="str">
        <x:v>MIN</x:v>
      </x:c>
      <x:c r="C12" s="24" t="n">
        <x:v>68</x:v>
      </x:c>
      <x:c r="D12" s="24" t="str"/>
      <x:c r="E12" s="21" t="str">
        <x:v>PASS</x:v>
      </x:c>
    </x:row>
    <x:row r="13">
      <x:c r="A13" s="21" t="str">
        <x:v>PARCO_AUTO</x:v>
      </x:c>
      <x:c r="B13" s="21" t="str">
        <x:v>MEDIAN</x:v>
      </x:c>
      <x:c r="C13" s="24" t="n">
        <x:v>1711</x:v>
      </x:c>
      <x:c r="D13" s="24" t="str"/>
      <x:c r="E13" s="21" t="str">
        <x:v>PASS</x:v>
      </x:c>
    </x:row>
    <x:row r="14">
      <x:c r="A14" s="21" t="str">
        <x:v>PARCO_AUTO</x:v>
      </x:c>
      <x:c r="B14" s="21" t="str">
        <x:v>MAX</x:v>
      </x:c>
      <x:c r="C14" s="24" t="n">
        <x:v>110689</x:v>
      </x:c>
      <x:c r="D14" s="24" t="str"/>
      <x:c r="E14" s="21" t="str">
        <x:v>PASS</x:v>
      </x:c>
    </x:row>
    <x:row r="15">
      <x:c r="A15" s="21" t="str">
        <x:v>PARCO_AUTO</x:v>
      </x:c>
      <x:c r="B15" s="21" t="str">
        <x:v>SUM</x:v>
      </x:c>
      <x:c r="C15" s="24" t="n">
        <x:v>828909</x:v>
      </x:c>
      <x:c r="D15" s="24" t="n">
        <x:v>828909</x:v>
      </x:c>
      <x:c r="E15" s="21" t="str">
        <x:v>PASS</x:v>
      </x:c>
    </x:row>
    <x:row r="16">
      <x:c r="A16" s="21" t="str">
        <x:v>TURISMO</x:v>
      </x:c>
      <x:c r="B16" s="21" t="str">
        <x:v>COUNT</x:v>
      </x:c>
      <x:c r="C16" s="24" t="n">
        <x:v>215</x:v>
      </x:c>
      <x:c r="D16" s="24" t="n">
        <x:v>215</x:v>
      </x:c>
      <x:c r="E16" s="21" t="str">
        <x:v>PASS</x:v>
      </x:c>
    </x:row>
    <x:row r="17">
      <x:c r="A17" s="21" t="str">
        <x:v>TURISMO</x:v>
      </x:c>
      <x:c r="B17" s="21" t="str">
        <x:v>MISSING</x:v>
      </x:c>
      <x:c r="C17" s="24" t="n">
        <x:v>0</x:v>
      </x:c>
      <x:c r="D17" s="24" t="n">
        <x:v>0</x:v>
      </x:c>
      <x:c r="E17" s="21" t="str">
        <x:v>PASS</x:v>
      </x:c>
    </x:row>
    <x:row r="18">
      <x:c r="A18" s="21" t="str">
        <x:v>TURISMO</x:v>
      </x:c>
      <x:c r="B18" s="21" t="str">
        <x:v>MIN</x:v>
      </x:c>
      <x:c r="C18" s="24" t="n">
        <x:v>0</x:v>
      </x:c>
      <x:c r="D18" s="24" t="str"/>
      <x:c r="E18" s="21" t="str">
        <x:v>PASS</x:v>
      </x:c>
    </x:row>
    <x:row r="19">
      <x:c r="A19" s="21" t="str">
        <x:v>TURISMO</x:v>
      </x:c>
      <x:c r="B19" s="21" t="str">
        <x:v>MEDIAN</x:v>
      </x:c>
      <x:c r="C19" s="24" t="n">
        <x:v>3169</x:v>
      </x:c>
      <x:c r="D19" s="24" t="str"/>
      <x:c r="E19" s="21" t="str">
        <x:v>PASS</x:v>
      </x:c>
    </x:row>
    <x:row r="20">
      <x:c r="A20" s="21" t="str">
        <x:v>TURISMO</x:v>
      </x:c>
      <x:c r="B20" s="21" t="str">
        <x:v>MAX</x:v>
      </x:c>
      <x:c r="C20" s="24" t="n">
        <x:v>3618677</x:v>
      </x:c>
      <x:c r="D20" s="24" t="str"/>
      <x:c r="E20" s="21" t="str">
        <x:v>PASS</x:v>
      </x:c>
    </x:row>
    <x:row r="21">
      <x:c r="A21" s="21" t="str">
        <x:v>TURISMO</x:v>
      </x:c>
      <x:c r="B21" s="21" t="str">
        <x:v>SUM</x:v>
      </x:c>
      <x:c r="C21" s="24" t="n">
        <x:v>10143980</x:v>
      </x:c>
      <x:c r="D21" s="24" t="n">
        <x:v>10143980</x:v>
      </x:c>
      <x:c r="E21" s="21" t="str">
        <x:v>PASS</x:v>
      </x:c>
    </x:row>
    <x:row r="22">
      <x:c r="A22" s="21" t="str">
        <x:v>TURISMO</x:v>
      </x:c>
      <x:c r="B22" s="21" t="str">
        <x:v>OBSERVED_COUNT</x:v>
      </x:c>
      <x:c r="C22" s="24" t="n">
        <x:v>178</x:v>
      </x:c>
      <x:c r="D22" s="24" t="n">
        <x:v>178</x:v>
      </x:c>
      <x:c r="E22" s="21" t="str">
        <x:v>PASS</x:v>
      </x:c>
    </x:row>
    <x:row r="23">
      <x:c r="A23" s="21" t="str">
        <x:v>TURISMO</x:v>
      </x:c>
      <x:c r="B23" s="21" t="str">
        <x:v>IMPUTED_BEDS_RESIDUAL_COUNT</x:v>
      </x:c>
      <x:c r="C23" s="24" t="n">
        <x:v>35</x:v>
      </x:c>
      <x:c r="D23" s="24" t="n">
        <x:v>35</x:v>
      </x:c>
      <x:c r="E23" s="21" t="str">
        <x:v>PASS</x:v>
      </x:c>
    </x:row>
    <x:row r="24">
      <x:c r="A24" s="21" t="str">
        <x:v>TURISMO</x:v>
      </x:c>
      <x:c r="B24" s="21" t="str">
        <x:v>ZERO_CAPACITY_COUNT</x:v>
      </x:c>
      <x:c r="C24" s="24" t="n">
        <x:v>2</x:v>
      </x:c>
      <x:c r="D24" s="24" t="n">
        <x:v>2</x:v>
      </x:c>
      <x:c r="E24" s="21" t="str">
        <x:v>PASS</x:v>
      </x:c>
    </x:row>
    <x:row r="25">
      <x:c r="A25" s="21" t="str">
        <x:v>GDO</x:v>
      </x:c>
      <x:c r="B25" s="21" t="str">
        <x:v>COUNT</x:v>
      </x:c>
      <x:c r="C25" s="24" t="n">
        <x:v>215</x:v>
      </x:c>
      <x:c r="D25" s="24" t="n">
        <x:v>215</x:v>
      </x:c>
      <x:c r="E25" s="21" t="str">
        <x:v>PASS</x:v>
      </x:c>
    </x:row>
    <x:row r="26">
      <x:c r="A26" s="21" t="str">
        <x:v>GDO</x:v>
      </x:c>
      <x:c r="B26" s="21" t="str">
        <x:v>MISSING</x:v>
      </x:c>
      <x:c r="C26" s="24" t="n">
        <x:v>0</x:v>
      </x:c>
      <x:c r="D26" s="24" t="n">
        <x:v>0</x:v>
      </x:c>
      <x:c r="E26" s="21" t="str">
        <x:v>PASS</x:v>
      </x:c>
    </x:row>
    <x:row r="27">
      <x:c r="A27" s="21" t="str">
        <x:v>GDO</x:v>
      </x:c>
      <x:c r="B27" s="21" t="str">
        <x:v>ZERO</x:v>
      </x:c>
      <x:c r="C27" s="24" t="n">
        <x:v>104</x:v>
      </x:c>
      <x:c r="D27" s="24" t="n">
        <x:v>104</x:v>
      </x:c>
      <x:c r="E27" s="21" t="str">
        <x:v>PASS</x:v>
      </x:c>
    </x:row>
    <x:row r="28">
      <x:c r="A28" s="21" t="str">
        <x:v>GDO</x:v>
      </x:c>
      <x:c r="B28" s="21" t="str">
        <x:v>MIN</x:v>
      </x:c>
      <x:c r="C28" s="24" t="n">
        <x:v>0</x:v>
      </x:c>
      <x:c r="D28" s="24" t="str"/>
      <x:c r="E28" s="21" t="str">
        <x:v>PASS</x:v>
      </x:c>
    </x:row>
    <x:row r="29">
      <x:c r="A29" s="21" t="str">
        <x:v>GDO</x:v>
      </x:c>
      <x:c r="B29" s="21" t="str">
        <x:v>MEDIAN</x:v>
      </x:c>
      <x:c r="C29" s="24" t="n">
        <x:v>561</x:v>
      </x:c>
      <x:c r="D29" s="24" t="str"/>
      <x:c r="E29" s="21" t="str">
        <x:v>PASS</x:v>
      </x:c>
    </x:row>
    <x:row r="30">
      <x:c r="A30" s="21" t="str">
        <x:v>GDO</x:v>
      </x:c>
      <x:c r="B30" s="21" t="str">
        <x:v>MAX</x:v>
      </x:c>
      <x:c r="C30" s="24" t="n">
        <x:v>127039.28</x:v>
      </x:c>
      <x:c r="D30" s="24" t="str"/>
      <x:c r="E30" s="21" t="str">
        <x:v>PASS</x:v>
      </x:c>
    </x:row>
    <x:row r="31">
      <x:c r="A31" s="21" t="str">
        <x:v>GDO</x:v>
      </x:c>
      <x:c r="B31" s="21" t="str">
        <x:v>SUM_MQ</x:v>
      </x:c>
      <x:c r="C31" s="24" t="n">
        <x:v>1480796.13</x:v>
      </x:c>
      <x:c r="D31" s="24" t="n">
        <x:v>1480796.13</x:v>
      </x:c>
      <x:c r="E31" s="21" t="str">
        <x:v>PASS</x:v>
      </x:c>
    </x:row>
    <x:row r="32">
      <x:c r="A32" s="21" t="str">
        <x:v>GDO</x:v>
      </x:c>
      <x:c r="B32" s="21" t="str">
        <x:v>ZERO_REGIONAL_TABLE</x:v>
      </x:c>
      <x:c r="C32" s="24" t="n">
        <x:v>101</x:v>
      </x:c>
      <x:c r="D32" s="24" t="n">
        <x:v>101</x:v>
      </x:c>
      <x:c r="E32" s="21" t="str">
        <x:v>PASS</x:v>
      </x:c>
    </x:row>
    <x:row r="33">
      <x:c r="A33" s="21" t="str">
        <x:v>GDO</x:v>
      </x:c>
      <x:c r="B33" s="21" t="str">
        <x:v>ZERO_EXTERNAL_EVIDENCE</x:v>
      </x:c>
      <x:c r="C33" s="24" t="n">
        <x:v>3</x:v>
      </x:c>
      <x:c r="D33" s="24" t="n">
        <x:v>3</x:v>
      </x:c>
      <x:c r="E33" s="21" t="str">
        <x:v>PASS</x:v>
      </x:c>
    </x:row>
    <x:row r="34">
      <x:c r="A34" s="21" t="str">
        <x:v>FINAL</x:v>
      </x:c>
      <x:c r="B34" s="21" t="str">
        <x:v>READY_FOR_GRAVITY_MODEL_V0</x:v>
      </x:c>
      <x:c r="C34" s="24" t="str">
        <x:v>YES</x:v>
      </x:c>
      <x:c r="D34" s="24" t="str">
        <x:v>YES</x:v>
      </x:c>
      <x:c r="E34" s="21" t="str">
        <x:v>PASS</x:v>
      </x:c>
    </x:row>
  </x:sheetData>
  <x:conditionalFormatting sqref="E2:E34">
    <x:cfRule type="expression" dxfId="5" priority="1">
      <x:formula>$E2="PASS"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32675ba28546a4"/>
  </x:tableParts>
</x:worksheet>
</file>